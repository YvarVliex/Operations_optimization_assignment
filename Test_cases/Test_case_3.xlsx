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ils de Krom\Documents\GitHub\Operations_optimization_assignment\Test_cases\"/>
    </mc:Choice>
  </mc:AlternateContent>
  <xr:revisionPtr revIDLastSave="0" documentId="13_ncr:1_{CAC1C37E-790C-4C5C-AD78-E1C20A3CBA9F}" xr6:coauthVersionLast="47" xr6:coauthVersionMax="47" xr10:uidLastSave="{00000000-0000-0000-0000-000000000000}"/>
  <bookViews>
    <workbookView xWindow="19090" yWindow="-110" windowWidth="25820" windowHeight="14020" activeTab="2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E4" i="6" l="1"/>
  <c r="E5" i="6"/>
  <c r="C2" i="5"/>
  <c r="C4" i="5" l="1"/>
  <c r="B4" i="5"/>
  <c r="D2" i="5"/>
  <c r="B3" i="5"/>
  <c r="D3" i="5"/>
  <c r="M2" i="7" l="1"/>
  <c r="N6" i="4" l="1"/>
  <c r="N7" i="4" s="1"/>
  <c r="N8" i="4" s="1"/>
  <c r="N9" i="4" s="1"/>
  <c r="D5" i="6"/>
  <c r="F5" i="6"/>
  <c r="G5" i="6"/>
  <c r="H5" i="6"/>
  <c r="D6" i="6"/>
  <c r="E6" i="6" s="1"/>
  <c r="F6" i="6"/>
  <c r="G6" i="6"/>
  <c r="H6" i="6"/>
  <c r="D7" i="6"/>
  <c r="E7" i="6"/>
  <c r="F7" i="6"/>
  <c r="G7" i="6"/>
  <c r="H7" i="6"/>
  <c r="F4" i="6"/>
  <c r="D3" i="6"/>
  <c r="E3" i="6" s="1"/>
  <c r="G3" i="6"/>
  <c r="H3" i="6"/>
  <c r="G2" i="6"/>
  <c r="E2" i="6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1" i="6"/>
  <c r="D4" i="6"/>
  <c r="D2" i="6"/>
  <c r="F2" i="6" s="1"/>
  <c r="D19" i="4"/>
  <c r="M3" i="4"/>
  <c r="H4" i="6" l="1"/>
  <c r="H2" i="6"/>
  <c r="I2" i="7"/>
  <c r="I5" i="7"/>
  <c r="I4" i="7"/>
  <c r="M3" i="7"/>
  <c r="I7" i="7"/>
  <c r="I3" i="7"/>
  <c r="M6" i="7"/>
  <c r="I6" i="7"/>
  <c r="G4" i="6"/>
</calcChain>
</file>

<file path=xl/sharedStrings.xml><?xml version="1.0" encoding="utf-8"?>
<sst xmlns="http://schemas.openxmlformats.org/spreadsheetml/2006/main" count="93" uniqueCount="68">
  <si>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</si>
  <si>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</si>
  <si>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</si>
  <si>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</si>
  <si>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</si>
  <si>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</si>
  <si>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</si>
  <si>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</si>
  <si>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</si>
  <si>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</si>
  <si>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</si>
  <si>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</si>
  <si>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</si>
  <si>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</si>
  <si>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</si>
  <si>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</si>
  <si>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</si>
  <si>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</si>
  <si>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</si>
  <si>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</si>
  <si>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</si>
  <si>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</si>
  <si>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</si>
  <si>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</si>
  <si>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</si>
  <si>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</si>
  <si>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</si>
  <si>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</si>
  <si>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</si>
  <si>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</si>
  <si>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</si>
  <si>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</si>
  <si>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</si>
  <si>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</si>
  <si>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</si>
  <si>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Take-Off Distance (@MTOW)</t>
  </si>
  <si>
    <t>Landing Distance (@MLW)</t>
  </si>
  <si>
    <t>Turnaround Time (mins)</t>
  </si>
  <si>
    <t>Source</t>
  </si>
  <si>
    <t>MLW [kg]</t>
  </si>
  <si>
    <t>MLW [ton]</t>
  </si>
  <si>
    <t>Landing/TO cost [Euro]</t>
  </si>
  <si>
    <t>Parking [Euro/day]</t>
  </si>
  <si>
    <t>Cost all passengers [euro]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</si>
  <si>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</si>
  <si>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</si>
  <si>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</si>
  <si>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</si>
  <si>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</si>
  <si>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</si>
  <si>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</si>
  <si>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</si>
  <si>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</si>
  <si>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</si>
  <si>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</si>
  <si>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</si>
  <si>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</si>
  <si>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</si>
  <si>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</si>
  <si>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</si>
  <si>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</si>
  <si>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</si>
  <si>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</si>
  <si>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</si>
  <si>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</si>
  <si>
    <t>IslandA</t>
  </si>
  <si>
    <t>IslandB</t>
  </si>
  <si>
    <t>IslandC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</si>
</sst>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1" fontId="7" fillId="0" borderId="0" xfId="0" applyNumberFormat="1" applyFont="1"/>
    <xf numFmtId="2" fontId="5" fillId="0" borderId="0" xfId="0" applyNumberFormat="1" applyFont="1"/>
    <xf numFmtId="1" fontId="6" fillId="0" borderId="0" xfId="0" applyNumberFormat="1" applyFont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2" xfId="0" applyNumberFormat="1" applyFont="1" applyBorder="1"/>
    <xf numFmtId="1" fontId="6" fillId="0" borderId="3" xfId="0" applyNumberFormat="1" applyFont="1" applyBorder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5" xfId="0" applyFont="1" applyBorder="1" applyAlignment="1"/>
    <xf numFmtId="0" fontId="4" fillId="0" borderId="1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1" xfId="0" applyNumberFormat="1" applyFont="1" applyFill="1" applyBorder="1"/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/>
    <xf numFmtId="1" fontId="7" fillId="0" borderId="1" xfId="0" applyNumberFormat="1" applyFont="1" applyFill="1" applyBorder="1"/>
    <xf numFmtId="1" fontId="4" fillId="0" borderId="1" xfId="0" applyNumberFormat="1" applyFont="1" applyFill="1" applyBorder="1"/>
    <xf numFmtId="2" fontId="6" fillId="0" borderId="1" xfId="0" applyNumberFormat="1" applyFont="1" applyFill="1" applyBorder="1"/>
    <xf numFmtId="2" fontId="5" fillId="0" borderId="1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1" xfId="0" applyFont="1" applyFill="1" applyBorder="1" applyAlignment="1"/>
    <xf numFmtId="2" fontId="7" fillId="0" borderId="0" xfId="0" applyNumberFormat="1" applyFont="1"/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/>
    <xf numFmtId="0" fontId="0" fillId="0" borderId="1" xfId="0" applyFont="1" applyBorder="1" applyAlignment="1"/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1" fontId="6" fillId="0" borderId="1" xfId="0" applyNumberFormat="1" applyFont="1" applyFill="1" applyBorder="1" applyAlignment="1"/>
    <xf numFmtId="1" fontId="6" fillId="0" borderId="20" xfId="0" applyNumberFormat="1" applyFont="1" applyBorder="1"/>
    <xf numFmtId="1" fontId="6" fillId="0" borderId="21" xfId="0" applyNumberFormat="1" applyFont="1" applyBorder="1"/>
    <xf numFmtId="0" fontId="1" fillId="0" borderId="22" xfId="0" applyFont="1" applyBorder="1" applyAlignment="1"/>
    <xf numFmtId="0" fontId="5" fillId="0" borderId="0" xfId="0" applyFont="1" applyAlignment="1">
      <alignment horizontal="center"/>
    </xf>
    <xf numFmtId="164" fontId="6" fillId="2" borderId="12" xfId="0" applyNumberFormat="1" applyFont="1" applyFill="1" applyBorder="1" applyAlignment="1"/>
    <xf numFmtId="164" fontId="6" fillId="0" borderId="13" xfId="0" applyNumberFormat="1" applyFont="1" applyBorder="1"/>
    <xf numFmtId="164" fontId="6" fillId="0" borderId="14" xfId="0" applyNumberFormat="1" applyFont="1" applyBorder="1"/>
    <xf numFmtId="164" fontId="6" fillId="0" borderId="15" xfId="0" applyNumberFormat="1" applyFont="1" applyBorder="1"/>
    <xf numFmtId="164" fontId="6" fillId="2" borderId="1" xfId="0" applyNumberFormat="1" applyFont="1" applyFill="1" applyBorder="1" applyAlignment="1"/>
    <xf numFmtId="164" fontId="6" fillId="0" borderId="16" xfId="0" applyNumberFormat="1" applyFont="1" applyBorder="1"/>
    <xf numFmtId="164" fontId="6" fillId="0" borderId="17" xfId="0" applyNumberFormat="1" applyFont="1" applyBorder="1"/>
    <xf numFmtId="164" fontId="6" fillId="0" borderId="18" xfId="0" applyNumberFormat="1" applyFont="1" applyBorder="1"/>
    <xf numFmtId="164" fontId="6" fillId="2" borderId="19" xfId="0" applyNumberFormat="1" applyFont="1" applyFill="1" applyBorder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D1" sqref="D1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34"/>
      <c r="B1" s="55" t="s">
        <v>58</v>
      </c>
      <c r="C1" s="34"/>
      <c r="D1" s="72" t="s">
        <v>65</v>
      </c>
      <c r="E1" s="72" t="s">
        <v>66</v>
      </c>
      <c r="F1" s="72" t="s">
        <v>67</v>
      </c>
      <c r="G1" s="9"/>
      <c r="H1" s="9"/>
      <c r="I1" s="9"/>
      <c r="J1" s="9"/>
      <c r="K1" s="9"/>
      <c r="L1" s="9"/>
      <c r="M1" s="82" t="s">
        <v>10</v>
      </c>
    </row>
    <row r="2" spans="1:19" ht="14.25" customHeight="1" x14ac:dyDescent="0.3">
      <c r="A2" s="34"/>
      <c r="B2" s="34"/>
      <c r="C2" s="34"/>
      <c r="G2" s="18"/>
      <c r="H2" s="18"/>
      <c r="I2" s="18"/>
      <c r="J2" s="18"/>
      <c r="K2" s="18"/>
      <c r="L2" s="18"/>
      <c r="M2" s="83"/>
    </row>
    <row r="3" spans="1:19" ht="14.25" customHeight="1" x14ac:dyDescent="0.3">
      <c r="A3" s="19" t="s">
        <v>38</v>
      </c>
      <c r="B3" s="72" t="s">
        <v>65</v>
      </c>
      <c r="C3" s="18" t="s">
        <v>18</v>
      </c>
      <c r="D3" s="69">
        <v>30</v>
      </c>
      <c r="E3" s="70">
        <v>70</v>
      </c>
      <c r="F3" s="71">
        <v>40</v>
      </c>
      <c r="G3" s="58"/>
      <c r="H3" s="58"/>
      <c r="I3" s="58"/>
      <c r="J3" s="58"/>
      <c r="K3" s="58"/>
      <c r="L3" s="58"/>
      <c r="M3" s="14">
        <f>SUM(D3:L3)</f>
        <v>140</v>
      </c>
    </row>
    <row r="4" spans="1:19" ht="14.25" customHeight="1" x14ac:dyDescent="0.3">
      <c r="D4" s="58"/>
      <c r="E4" s="58"/>
      <c r="F4" s="58"/>
      <c r="G4" s="58"/>
      <c r="H4" s="58"/>
      <c r="I4" s="58"/>
      <c r="J4" s="58"/>
      <c r="K4" s="58"/>
      <c r="L4" s="58"/>
      <c r="O4" s="37"/>
      <c r="P4" s="37"/>
      <c r="Q4" s="37"/>
    </row>
    <row r="5" spans="1:19" ht="14.25" customHeight="1" x14ac:dyDescent="0.3">
      <c r="D5" s="58"/>
      <c r="E5" s="58"/>
      <c r="F5" s="58"/>
      <c r="G5" s="58"/>
      <c r="H5" s="58"/>
      <c r="I5" s="58"/>
      <c r="J5" s="58"/>
      <c r="K5" s="58"/>
      <c r="L5" s="58"/>
      <c r="M5" s="59"/>
      <c r="N5" s="14"/>
      <c r="O5" s="37"/>
      <c r="P5" s="37"/>
      <c r="Q5" s="37"/>
    </row>
    <row r="6" spans="1:19" ht="14.25" customHeight="1" x14ac:dyDescent="0.3">
      <c r="D6" s="58"/>
      <c r="E6" s="59"/>
      <c r="F6" s="59"/>
      <c r="G6" s="59"/>
      <c r="H6" s="59"/>
      <c r="I6" s="59"/>
      <c r="J6" s="59"/>
      <c r="K6" s="59"/>
      <c r="L6" s="59"/>
      <c r="M6" s="59"/>
      <c r="N6" s="61">
        <f>SUM(E6:L6) * 2</f>
        <v>0</v>
      </c>
      <c r="O6" s="60" t="s">
        <v>61</v>
      </c>
      <c r="P6" s="37"/>
      <c r="Q6" s="37"/>
    </row>
    <row r="7" spans="1:19" ht="14.25" customHeight="1" x14ac:dyDescent="0.3">
      <c r="A7" s="34"/>
      <c r="B7" s="34"/>
      <c r="C7" s="34"/>
      <c r="D7" s="1"/>
      <c r="E7" s="16"/>
      <c r="F7" s="16"/>
      <c r="G7" s="16"/>
      <c r="H7" s="16"/>
      <c r="I7" s="16"/>
      <c r="J7" s="16"/>
      <c r="K7" s="16"/>
      <c r="L7" s="16"/>
      <c r="M7" s="16"/>
      <c r="N7" s="61">
        <f>N6/4</f>
        <v>0</v>
      </c>
      <c r="O7" s="39" t="s">
        <v>62</v>
      </c>
      <c r="P7" s="37"/>
      <c r="Q7" s="37"/>
    </row>
    <row r="8" spans="1:19" ht="14.25" customHeight="1" x14ac:dyDescent="0.3">
      <c r="A8" s="34"/>
      <c r="B8" s="55"/>
      <c r="C8" s="34"/>
      <c r="D8" s="18" t="s">
        <v>18</v>
      </c>
      <c r="G8" s="16"/>
      <c r="H8" s="16"/>
      <c r="I8" s="16"/>
      <c r="J8" s="16"/>
      <c r="K8" s="16"/>
      <c r="L8" s="16"/>
      <c r="M8" s="16"/>
      <c r="N8" s="61">
        <f>N7/6</f>
        <v>0</v>
      </c>
      <c r="O8" s="40" t="s">
        <v>63</v>
      </c>
      <c r="P8" s="37"/>
      <c r="Q8" s="37"/>
      <c r="S8" s="15"/>
    </row>
    <row r="9" spans="1:19" ht="14.25" customHeight="1" x14ac:dyDescent="0.3">
      <c r="A9" s="34"/>
      <c r="B9" s="55" t="s">
        <v>59</v>
      </c>
      <c r="C9" s="34"/>
      <c r="D9" s="6" t="s">
        <v>8</v>
      </c>
      <c r="F9" s="16"/>
      <c r="G9" s="16"/>
      <c r="H9" s="16"/>
      <c r="I9" s="16"/>
      <c r="J9" s="16"/>
      <c r="K9" s="16"/>
      <c r="L9" s="16"/>
      <c r="M9" s="16"/>
      <c r="N9" s="61">
        <f>97*N8/60</f>
        <v>0</v>
      </c>
      <c r="O9" s="40" t="s">
        <v>64</v>
      </c>
      <c r="P9" s="37"/>
      <c r="Q9" s="37"/>
      <c r="S9" s="15"/>
    </row>
    <row r="10" spans="1:19" ht="14.25" customHeight="1" x14ac:dyDescent="0.3">
      <c r="A10" s="35" t="s">
        <v>38</v>
      </c>
      <c r="B10" s="9" t="s">
        <v>8</v>
      </c>
      <c r="C10" s="18" t="s">
        <v>18</v>
      </c>
      <c r="D10" s="20">
        <v>9307.8750664956679</v>
      </c>
      <c r="F10" s="16"/>
      <c r="G10" s="16"/>
      <c r="H10" s="16"/>
      <c r="I10" s="16"/>
      <c r="J10" s="16"/>
      <c r="K10" s="16"/>
      <c r="L10" s="16"/>
      <c r="M10" s="16"/>
      <c r="N10" s="14"/>
      <c r="O10" s="40"/>
      <c r="P10" s="37"/>
      <c r="Q10" s="37"/>
      <c r="S10" s="15"/>
    </row>
    <row r="11" spans="1:19" ht="14.25" customHeight="1" x14ac:dyDescent="0.3">
      <c r="A11" s="34"/>
      <c r="B11" s="9" t="s">
        <v>1</v>
      </c>
      <c r="C11" s="18" t="s">
        <v>11</v>
      </c>
      <c r="D11" s="21">
        <v>20</v>
      </c>
      <c r="F11" s="16"/>
      <c r="G11" s="16"/>
      <c r="H11" s="16"/>
      <c r="I11" s="16"/>
      <c r="J11" s="16"/>
      <c r="K11" s="16"/>
      <c r="L11" s="16"/>
      <c r="M11" s="16"/>
      <c r="N11" s="14"/>
      <c r="O11" s="40"/>
      <c r="P11" s="37"/>
      <c r="Q11" s="37"/>
      <c r="S11" s="15"/>
    </row>
    <row r="12" spans="1:19" ht="14.25" customHeight="1" x14ac:dyDescent="0.3">
      <c r="A12" s="34"/>
      <c r="B12" s="9" t="s">
        <v>2</v>
      </c>
      <c r="C12" s="18" t="s">
        <v>12</v>
      </c>
      <c r="D12" s="21">
        <v>20</v>
      </c>
      <c r="F12" s="16"/>
      <c r="G12" s="16"/>
      <c r="H12" s="16"/>
      <c r="I12" s="16"/>
      <c r="J12" s="16"/>
      <c r="K12" s="16"/>
      <c r="L12" s="16"/>
      <c r="M12" s="16"/>
      <c r="N12" s="14"/>
      <c r="O12" s="40"/>
      <c r="P12" s="37"/>
      <c r="Q12" s="37"/>
      <c r="S12" s="15"/>
    </row>
    <row r="13" spans="1:19" ht="14.25" customHeight="1" x14ac:dyDescent="0.3">
      <c r="A13" s="34"/>
      <c r="B13" s="9" t="s">
        <v>3</v>
      </c>
      <c r="C13" s="18" t="s">
        <v>13</v>
      </c>
      <c r="D13" s="21">
        <v>20</v>
      </c>
      <c r="F13" s="14"/>
      <c r="G13" s="14"/>
      <c r="H13" s="14"/>
      <c r="I13" s="14"/>
      <c r="J13" s="14"/>
      <c r="K13" s="14"/>
      <c r="L13" s="14"/>
      <c r="M13" s="14"/>
      <c r="N13" s="16"/>
      <c r="O13" s="40"/>
      <c r="P13" s="37"/>
      <c r="Q13" s="37"/>
      <c r="S13" s="15"/>
    </row>
    <row r="14" spans="1:19" ht="14.25" customHeight="1" x14ac:dyDescent="0.3">
      <c r="A14" s="34"/>
      <c r="B14" s="9" t="s">
        <v>4</v>
      </c>
      <c r="C14" s="18" t="s">
        <v>14</v>
      </c>
      <c r="D14" s="21">
        <v>20</v>
      </c>
      <c r="O14" s="40"/>
      <c r="P14" s="37"/>
      <c r="Q14" s="37"/>
      <c r="S14" s="15"/>
    </row>
    <row r="15" spans="1:19" ht="14.25" customHeight="1" x14ac:dyDescent="0.3">
      <c r="A15" s="34"/>
      <c r="B15" s="9" t="s">
        <v>5</v>
      </c>
      <c r="C15" s="18" t="s">
        <v>15</v>
      </c>
      <c r="D15" s="21">
        <v>20</v>
      </c>
      <c r="O15" s="40"/>
      <c r="P15" s="38"/>
      <c r="Q15" s="37"/>
      <c r="S15" s="15"/>
    </row>
    <row r="16" spans="1:19" ht="14.25" customHeight="1" x14ac:dyDescent="0.3">
      <c r="A16" s="34"/>
      <c r="B16" s="9" t="s">
        <v>6</v>
      </c>
      <c r="C16" s="18" t="s">
        <v>16</v>
      </c>
      <c r="D16" s="21">
        <v>20</v>
      </c>
      <c r="O16" s="40"/>
      <c r="P16" s="37"/>
      <c r="Q16" s="37"/>
      <c r="S16" s="15"/>
    </row>
    <row r="17" spans="1:17" ht="14.25" customHeight="1" x14ac:dyDescent="0.3">
      <c r="A17" s="34"/>
      <c r="B17" s="9" t="s">
        <v>7</v>
      </c>
      <c r="C17" s="18" t="s">
        <v>17</v>
      </c>
      <c r="D17" s="21">
        <v>20</v>
      </c>
      <c r="O17" s="36"/>
      <c r="P17" s="37"/>
      <c r="Q17" s="37"/>
    </row>
    <row r="18" spans="1:17" ht="14.25" customHeight="1" x14ac:dyDescent="0.3">
      <c r="A18" s="34"/>
      <c r="B18" s="9" t="s">
        <v>9</v>
      </c>
      <c r="C18" s="18" t="s">
        <v>19</v>
      </c>
      <c r="D18" s="21">
        <v>20</v>
      </c>
      <c r="O18" s="37"/>
      <c r="P18" s="37"/>
      <c r="Q18" s="37"/>
    </row>
    <row r="19" spans="1:17" ht="14.25" customHeight="1" x14ac:dyDescent="0.3">
      <c r="A19" s="9"/>
      <c r="B19" s="82" t="s">
        <v>10</v>
      </c>
      <c r="C19" s="83"/>
      <c r="D19" s="14">
        <f>SUM(D10:D18)</f>
        <v>9467.8750664956679</v>
      </c>
      <c r="O19" s="37"/>
      <c r="P19" s="41"/>
      <c r="Q19" s="37"/>
    </row>
    <row r="20" spans="1:17" ht="14.25" customHeight="1" x14ac:dyDescent="0.3">
      <c r="O20" s="42"/>
      <c r="P20" s="37"/>
      <c r="Q20" s="37"/>
    </row>
    <row r="21" spans="1:17" ht="14.25" customHeight="1" x14ac:dyDescent="0.3">
      <c r="D21" s="37"/>
      <c r="E21" s="37"/>
      <c r="F21" s="43"/>
      <c r="G21" s="43"/>
      <c r="H21" s="43"/>
      <c r="I21" s="43"/>
      <c r="J21" s="43"/>
      <c r="K21" s="43"/>
      <c r="L21" s="43"/>
      <c r="M21" s="43"/>
      <c r="N21" s="43"/>
      <c r="O21" s="37"/>
      <c r="P21" s="37"/>
      <c r="Q21" s="37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17"/>
      <c r="I30" s="17"/>
      <c r="J30" s="17"/>
      <c r="K30" s="17"/>
      <c r="L30" s="17"/>
      <c r="M30" s="17"/>
      <c r="N30" s="17"/>
      <c r="O30" s="17"/>
      <c r="P30" s="17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4" sqref="H4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1" ht="14.25" customHeight="1" thickBot="1" x14ac:dyDescent="0.3">
      <c r="A1" s="54" t="s">
        <v>57</v>
      </c>
      <c r="B1" s="9" t="s">
        <v>65</v>
      </c>
      <c r="C1" s="9" t="s">
        <v>66</v>
      </c>
      <c r="D1" s="9" t="s">
        <v>67</v>
      </c>
      <c r="E1" s="66"/>
      <c r="F1" s="66"/>
      <c r="G1" s="66"/>
      <c r="H1" s="66"/>
      <c r="I1" s="66"/>
      <c r="J1" s="66"/>
    </row>
    <row r="2" spans="1:11" ht="14.25" customHeight="1" x14ac:dyDescent="0.3">
      <c r="A2" s="9" t="s">
        <v>65</v>
      </c>
      <c r="B2" s="73">
        <v>0</v>
      </c>
      <c r="C2" s="74">
        <f>SQRT((100-40)^2 + (30-29)^2)</f>
        <v>60.00833275470999</v>
      </c>
      <c r="D2" s="75">
        <f>SQRT((100-70)^2 + (36-29)^2)</f>
        <v>30.805843601498726</v>
      </c>
      <c r="E2" s="36"/>
      <c r="F2" s="36"/>
      <c r="G2" s="36"/>
      <c r="H2" s="36"/>
      <c r="I2" s="36"/>
      <c r="J2" s="36"/>
    </row>
    <row r="3" spans="1:11" ht="14.25" customHeight="1" x14ac:dyDescent="0.3">
      <c r="A3" s="9" t="s">
        <v>66</v>
      </c>
      <c r="B3" s="76">
        <f>SQRT((100-40)^2 + (30-29)^2)</f>
        <v>60.00833275470999</v>
      </c>
      <c r="C3" s="77">
        <v>0</v>
      </c>
      <c r="D3" s="78">
        <f>SQRT((40-70)^2 + (36-30)^2)</f>
        <v>30.594117081556711</v>
      </c>
      <c r="E3" s="36"/>
      <c r="F3" s="36"/>
      <c r="G3" s="36"/>
      <c r="H3" s="36"/>
      <c r="I3" s="36"/>
      <c r="J3" s="36"/>
    </row>
    <row r="4" spans="1:11" ht="14.25" customHeight="1" thickBot="1" x14ac:dyDescent="0.35">
      <c r="A4" s="9" t="s">
        <v>67</v>
      </c>
      <c r="B4" s="79">
        <f>SQRT((100-70)^2 + (36-29)^2)</f>
        <v>30.805843601498726</v>
      </c>
      <c r="C4" s="80">
        <f>SQRT((100-70)^2 + (36-29)^2)</f>
        <v>30.805843601498726</v>
      </c>
      <c r="D4" s="81">
        <v>0</v>
      </c>
      <c r="E4" s="36"/>
      <c r="F4" s="67"/>
      <c r="G4" s="67"/>
      <c r="H4" s="67"/>
      <c r="I4" s="67"/>
      <c r="J4" s="67"/>
    </row>
    <row r="5" spans="1:11" ht="14.25" customHeight="1" x14ac:dyDescent="0.3">
      <c r="A5" s="62"/>
      <c r="B5" s="63"/>
      <c r="C5" s="63"/>
      <c r="D5" s="63"/>
      <c r="E5" s="68"/>
      <c r="F5" s="36"/>
      <c r="G5" s="36"/>
      <c r="H5" s="36"/>
      <c r="I5" s="36"/>
      <c r="J5" s="36"/>
      <c r="K5" s="64"/>
    </row>
    <row r="6" spans="1:11" ht="14.25" customHeight="1" x14ac:dyDescent="0.3">
      <c r="A6" s="62"/>
      <c r="B6" s="63"/>
      <c r="C6" s="63"/>
      <c r="D6" s="65"/>
      <c r="E6" s="36"/>
      <c r="F6" s="68"/>
      <c r="G6" s="36"/>
      <c r="H6" s="36"/>
      <c r="I6" s="36"/>
      <c r="J6" s="36"/>
      <c r="K6" s="64"/>
    </row>
    <row r="7" spans="1:11" ht="14.25" customHeight="1" x14ac:dyDescent="0.3">
      <c r="A7" s="62"/>
      <c r="B7" s="63"/>
      <c r="C7" s="63"/>
      <c r="D7" s="65"/>
      <c r="E7" s="36"/>
      <c r="F7" s="36"/>
      <c r="G7" s="68"/>
      <c r="H7" s="36"/>
      <c r="I7" s="36"/>
      <c r="J7" s="36"/>
      <c r="K7" s="64"/>
    </row>
    <row r="8" spans="1:11" ht="14.25" customHeight="1" x14ac:dyDescent="0.3">
      <c r="A8" s="62"/>
      <c r="B8" s="63"/>
      <c r="C8" s="63"/>
      <c r="D8" s="65"/>
      <c r="E8" s="36"/>
      <c r="F8" s="36"/>
      <c r="G8" s="36"/>
      <c r="H8" s="68"/>
      <c r="I8" s="36"/>
      <c r="J8" s="36"/>
      <c r="K8" s="64"/>
    </row>
    <row r="9" spans="1:11" ht="14.25" customHeight="1" x14ac:dyDescent="0.3">
      <c r="A9" s="62"/>
      <c r="B9" s="63"/>
      <c r="C9" s="63"/>
      <c r="D9" s="65"/>
      <c r="E9" s="36"/>
      <c r="F9" s="36"/>
      <c r="G9" s="36"/>
      <c r="H9" s="36"/>
      <c r="I9" s="68"/>
      <c r="J9" s="36"/>
      <c r="K9" s="64"/>
    </row>
    <row r="10" spans="1:11" ht="14.25" customHeight="1" x14ac:dyDescent="0.3">
      <c r="A10" s="62"/>
      <c r="B10" s="63"/>
      <c r="C10" s="63"/>
      <c r="D10" s="65"/>
      <c r="E10" s="36"/>
      <c r="F10" s="36"/>
      <c r="G10" s="36"/>
      <c r="H10" s="36"/>
      <c r="I10" s="36"/>
      <c r="J10" s="68"/>
      <c r="K10" s="64"/>
    </row>
    <row r="11" spans="1:11" ht="14.25" customHeight="1" x14ac:dyDescent="0.25"/>
    <row r="12" spans="1:11" ht="14.25" customHeight="1" x14ac:dyDescent="0.25"/>
    <row r="13" spans="1:11" ht="14.25" customHeight="1" x14ac:dyDescent="0.3">
      <c r="A13" s="11"/>
    </row>
    <row r="14" spans="1:11" ht="14.25" customHeight="1" x14ac:dyDescent="0.25"/>
    <row r="15" spans="1:11" ht="14.25" customHeight="1" x14ac:dyDescent="0.25"/>
    <row r="16" spans="1:11" ht="14.25" customHeight="1" x14ac:dyDescent="0.25"/>
    <row r="17" spans="9:14" ht="14.25" customHeight="1" x14ac:dyDescent="0.3">
      <c r="I17" s="16"/>
      <c r="J17" s="13"/>
      <c r="K17" s="16"/>
      <c r="L17" s="16"/>
      <c r="M17" s="16"/>
      <c r="N17" s="16"/>
    </row>
    <row r="18" spans="9:14" ht="14.25" customHeight="1" x14ac:dyDescent="0.3">
      <c r="I18" s="16"/>
      <c r="J18" s="13"/>
      <c r="K18" s="16"/>
      <c r="L18" s="16"/>
      <c r="M18" s="16"/>
      <c r="N18" s="16"/>
    </row>
    <row r="19" spans="9:14" ht="14.25" customHeight="1" x14ac:dyDescent="0.3">
      <c r="I19" s="13"/>
      <c r="J19" s="13"/>
      <c r="K19" s="16"/>
      <c r="L19" s="16"/>
      <c r="M19" s="16"/>
      <c r="N19" s="16"/>
    </row>
    <row r="20" spans="9:14" ht="14.25" customHeight="1" x14ac:dyDescent="0.3">
      <c r="I20" s="13"/>
      <c r="J20" s="13"/>
      <c r="K20" s="16"/>
      <c r="L20" s="16"/>
      <c r="M20" s="16"/>
      <c r="N20" s="16"/>
    </row>
    <row r="21" spans="9:14" ht="14.25" customHeight="1" x14ac:dyDescent="0.3">
      <c r="I21" s="13"/>
      <c r="J21" s="13"/>
      <c r="K21" s="13"/>
      <c r="L21" s="13"/>
      <c r="M21" s="16"/>
      <c r="N21" s="16"/>
    </row>
    <row r="22" spans="9:14" ht="14.25" customHeight="1" x14ac:dyDescent="0.3">
      <c r="I22" s="13"/>
      <c r="J22" s="13"/>
      <c r="K22" s="13"/>
      <c r="L22" s="13"/>
      <c r="M22" s="16"/>
      <c r="N22" s="16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1"/>
  <sheetViews>
    <sheetView tabSelected="1" workbookViewId="0">
      <selection activeCell="E15" sqref="E15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34"/>
  </cols>
  <sheetData>
    <row r="1" spans="1:9" ht="43.2" x14ac:dyDescent="0.3">
      <c r="A1" s="5" t="s">
        <v>23</v>
      </c>
      <c r="B1" s="22" t="s">
        <v>24</v>
      </c>
      <c r="C1" s="6" t="s">
        <v>39</v>
      </c>
      <c r="D1" s="1" t="s">
        <v>40</v>
      </c>
      <c r="E1" s="1" t="s">
        <v>41</v>
      </c>
      <c r="F1" s="1" t="s">
        <v>42</v>
      </c>
      <c r="G1" s="23" t="s">
        <v>43</v>
      </c>
      <c r="H1" s="23" t="s">
        <v>0</v>
      </c>
      <c r="I1" s="1" t="s">
        <v>32</v>
      </c>
    </row>
    <row r="2" spans="1:9" ht="14.4" x14ac:dyDescent="0.3">
      <c r="A2" s="44" t="s">
        <v>33</v>
      </c>
      <c r="B2" s="45">
        <v>37</v>
      </c>
      <c r="C2" s="50">
        <v>15649</v>
      </c>
      <c r="D2" s="51">
        <f t="shared" ref="D2:D4" si="0">C2/1000</f>
        <v>15.648999999999999</v>
      </c>
      <c r="E2" s="51">
        <f>D2*$B$16</f>
        <v>51.954679999999996</v>
      </c>
      <c r="F2" s="51">
        <f t="shared" ref="F2" si="1">D2*$B$21</f>
        <v>24.72542</v>
      </c>
      <c r="G2" s="51">
        <f>B2*$B$31</f>
        <v>336.99600000000004</v>
      </c>
      <c r="H2" s="51">
        <f>$B$31</f>
        <v>9.1080000000000005</v>
      </c>
    </row>
    <row r="3" spans="1:9" s="57" customFormat="1" ht="14.4" x14ac:dyDescent="0.3">
      <c r="A3" s="44" t="s">
        <v>33</v>
      </c>
      <c r="B3" s="45">
        <v>37</v>
      </c>
      <c r="C3" s="50">
        <v>15649</v>
      </c>
      <c r="D3" s="51">
        <f t="shared" ref="D3" si="2">C3/1000</f>
        <v>15.648999999999999</v>
      </c>
      <c r="E3" s="51">
        <f>D3*$B$16</f>
        <v>51.954679999999996</v>
      </c>
      <c r="F3" s="51">
        <f t="shared" ref="F3" si="3">D3*$B$21</f>
        <v>24.72542</v>
      </c>
      <c r="G3" s="51">
        <f>B3*$B$31</f>
        <v>336.99600000000004</v>
      </c>
      <c r="H3" s="51">
        <f>$B$31</f>
        <v>9.1080000000000005</v>
      </c>
    </row>
    <row r="4" spans="1:9" ht="14.4" x14ac:dyDescent="0.3">
      <c r="A4" s="44" t="s">
        <v>34</v>
      </c>
      <c r="B4" s="45">
        <v>80</v>
      </c>
      <c r="C4" s="52">
        <v>27442</v>
      </c>
      <c r="D4" s="51">
        <f t="shared" si="0"/>
        <v>27.442</v>
      </c>
      <c r="E4" s="51">
        <f>25*$B$16+(D4-25)*$B$17-2</f>
        <v>90.890100000000004</v>
      </c>
      <c r="F4" s="51">
        <f>D4*$B$21</f>
        <v>43.358360000000005</v>
      </c>
      <c r="G4" s="51">
        <f t="shared" ref="G4" si="4">B4*$B$31</f>
        <v>728.6400000000001</v>
      </c>
      <c r="H4" s="51">
        <f t="shared" ref="H4:H7" si="5">$B$31</f>
        <v>9.1080000000000005</v>
      </c>
    </row>
    <row r="5" spans="1:9" s="57" customFormat="1" ht="14.4" x14ac:dyDescent="0.3">
      <c r="A5" s="44" t="s">
        <v>34</v>
      </c>
      <c r="B5" s="45">
        <v>80</v>
      </c>
      <c r="C5" s="52">
        <v>27442</v>
      </c>
      <c r="D5" s="51">
        <f t="shared" ref="D5:D7" si="6">C5/1000</f>
        <v>27.442</v>
      </c>
      <c r="E5" s="51">
        <f>25*$B$16+(D5-25)*$B$17-2</f>
        <v>90.890100000000004</v>
      </c>
      <c r="F5" s="51">
        <f t="shared" ref="F5:F7" si="7">D5*$B$21</f>
        <v>43.358360000000005</v>
      </c>
      <c r="G5" s="51">
        <f t="shared" ref="G5:G7" si="8">B5*$B$31</f>
        <v>728.6400000000001</v>
      </c>
      <c r="H5" s="51">
        <f t="shared" si="5"/>
        <v>9.1080000000000005</v>
      </c>
    </row>
    <row r="6" spans="1:9" s="57" customFormat="1" ht="14.4" x14ac:dyDescent="0.3">
      <c r="A6" s="44" t="s">
        <v>34</v>
      </c>
      <c r="B6" s="45">
        <v>80</v>
      </c>
      <c r="C6" s="52">
        <v>27442</v>
      </c>
      <c r="D6" s="51">
        <f t="shared" si="6"/>
        <v>27.442</v>
      </c>
      <c r="E6" s="51">
        <f t="shared" ref="E5:E7" si="9">25*$B$16+(D6-25)*$B$17</f>
        <v>92.890100000000004</v>
      </c>
      <c r="F6" s="51">
        <f t="shared" si="7"/>
        <v>43.358360000000005</v>
      </c>
      <c r="G6" s="51">
        <f t="shared" si="8"/>
        <v>728.6400000000001</v>
      </c>
      <c r="H6" s="51">
        <f t="shared" si="5"/>
        <v>9.1080000000000005</v>
      </c>
    </row>
    <row r="7" spans="1:9" s="57" customFormat="1" ht="14.4" x14ac:dyDescent="0.3">
      <c r="A7" s="44" t="s">
        <v>34</v>
      </c>
      <c r="B7" s="45">
        <v>80</v>
      </c>
      <c r="C7" s="52">
        <v>27442</v>
      </c>
      <c r="D7" s="51">
        <f t="shared" si="6"/>
        <v>27.442</v>
      </c>
      <c r="E7" s="51">
        <f t="shared" si="9"/>
        <v>92.890100000000004</v>
      </c>
      <c r="F7" s="51">
        <f t="shared" si="7"/>
        <v>43.358360000000005</v>
      </c>
      <c r="G7" s="51">
        <f t="shared" si="8"/>
        <v>728.6400000000001</v>
      </c>
      <c r="H7" s="51">
        <f t="shared" si="5"/>
        <v>9.1080000000000005</v>
      </c>
    </row>
    <row r="8" spans="1:9" ht="14.4" x14ac:dyDescent="0.3">
      <c r="A8" s="44"/>
      <c r="B8" s="45"/>
      <c r="C8" s="53"/>
      <c r="D8" s="51"/>
      <c r="E8" s="51"/>
      <c r="F8" s="51"/>
      <c r="G8" s="51"/>
      <c r="H8" s="51"/>
    </row>
    <row r="9" spans="1:9" ht="14.4" x14ac:dyDescent="0.3">
      <c r="A9" s="44"/>
      <c r="B9" s="45"/>
      <c r="C9" s="53"/>
      <c r="D9" s="51"/>
      <c r="E9" s="51"/>
      <c r="F9" s="51"/>
      <c r="G9" s="51"/>
      <c r="H9" s="51"/>
      <c r="I9" s="10"/>
    </row>
    <row r="10" spans="1:9" ht="14.4" x14ac:dyDescent="0.3">
      <c r="A10" s="52"/>
      <c r="B10" s="45"/>
      <c r="C10" s="53"/>
      <c r="D10" s="51"/>
      <c r="E10" s="51"/>
      <c r="F10" s="51"/>
      <c r="G10" s="51"/>
      <c r="H10" s="51"/>
      <c r="I10" s="10"/>
    </row>
    <row r="11" spans="1:9" ht="14.4" x14ac:dyDescent="0.3">
      <c r="A11" s="44"/>
      <c r="B11" s="45"/>
      <c r="C11" s="53"/>
      <c r="D11" s="51"/>
      <c r="E11" s="51"/>
      <c r="F11" s="51"/>
      <c r="G11" s="51"/>
      <c r="H11" s="51"/>
      <c r="I11" s="2"/>
    </row>
    <row r="12" spans="1:9" ht="15" customHeight="1" x14ac:dyDescent="0.45">
      <c r="A12" s="52"/>
      <c r="B12" s="52"/>
      <c r="C12" s="53"/>
      <c r="D12" s="51"/>
      <c r="E12" s="44"/>
      <c r="F12" s="51"/>
      <c r="G12" s="51"/>
      <c r="H12" s="51"/>
      <c r="I12" s="24"/>
    </row>
    <row r="15" spans="1:9" ht="28.8" x14ac:dyDescent="0.3">
      <c r="A15" s="25" t="s">
        <v>44</v>
      </c>
      <c r="B15" s="26" t="s">
        <v>45</v>
      </c>
    </row>
    <row r="16" spans="1:9" ht="14.4" x14ac:dyDescent="0.3">
      <c r="A16" s="27" t="s">
        <v>46</v>
      </c>
      <c r="B16" s="28">
        <v>3.32</v>
      </c>
    </row>
    <row r="17" spans="1:2" ht="14.4" x14ac:dyDescent="0.3">
      <c r="A17" s="27" t="s">
        <v>47</v>
      </c>
      <c r="B17" s="28">
        <v>4.05</v>
      </c>
    </row>
    <row r="18" spans="1:2" ht="14.4" x14ac:dyDescent="0.3">
      <c r="A18" s="29" t="s">
        <v>48</v>
      </c>
      <c r="B18" s="30">
        <v>4.7699999999999996</v>
      </c>
    </row>
    <row r="21" spans="1:2" ht="28.8" x14ac:dyDescent="0.3">
      <c r="A21" s="23" t="s">
        <v>49</v>
      </c>
      <c r="B21" s="1">
        <v>1.58</v>
      </c>
    </row>
    <row r="23" spans="1:2" ht="28.8" x14ac:dyDescent="0.3">
      <c r="A23" s="23" t="s">
        <v>50</v>
      </c>
    </row>
    <row r="24" spans="1:2" ht="14.4" x14ac:dyDescent="0.3">
      <c r="A24" s="1" t="s">
        <v>51</v>
      </c>
      <c r="B24" s="1">
        <v>47.39</v>
      </c>
    </row>
    <row r="27" spans="1:2" ht="14.4" x14ac:dyDescent="0.3">
      <c r="A27" s="30" t="s">
        <v>0</v>
      </c>
      <c r="B27" s="31" t="s">
        <v>52</v>
      </c>
    </row>
    <row r="28" spans="1:2" ht="14.4" x14ac:dyDescent="0.3">
      <c r="A28" s="28" t="s">
        <v>53</v>
      </c>
      <c r="B28" s="1">
        <v>6.98</v>
      </c>
    </row>
    <row r="29" spans="1:2" ht="14.4" x14ac:dyDescent="0.3">
      <c r="A29" s="28" t="s">
        <v>54</v>
      </c>
      <c r="B29" s="1">
        <v>0.188</v>
      </c>
    </row>
    <row r="30" spans="1:2" ht="14.4" x14ac:dyDescent="0.3">
      <c r="A30" s="28" t="s">
        <v>55</v>
      </c>
      <c r="B30" s="1">
        <v>1.94</v>
      </c>
    </row>
    <row r="31" spans="1:2" ht="14.4" x14ac:dyDescent="0.3">
      <c r="A31" s="32" t="s">
        <v>56</v>
      </c>
      <c r="B31" s="33">
        <f>SUM(B28:B30)</f>
        <v>9.1080000000000005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J17" sqref="J17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35</v>
      </c>
      <c r="K1" s="11" t="s">
        <v>36</v>
      </c>
      <c r="L1" s="49" t="s">
        <v>37</v>
      </c>
      <c r="M1" s="8" t="s">
        <v>60</v>
      </c>
    </row>
    <row r="2" spans="1:13" ht="14.4" x14ac:dyDescent="0.3">
      <c r="A2" s="44" t="s">
        <v>33</v>
      </c>
      <c r="B2" s="45">
        <v>37</v>
      </c>
      <c r="C2" s="46">
        <v>535</v>
      </c>
      <c r="D2" s="47">
        <f t="shared" ref="D2:D4" si="0">C2/3.6</f>
        <v>148.61111111111111</v>
      </c>
      <c r="E2" s="46">
        <v>1839</v>
      </c>
      <c r="F2" s="46">
        <v>3160</v>
      </c>
      <c r="G2" s="46">
        <f t="shared" ref="G2:G4" si="1">F2/E2/B2</f>
        <v>4.6441220992607612E-2</v>
      </c>
      <c r="H2" s="44">
        <f>F2/E2</f>
        <v>1.7183251767264818</v>
      </c>
      <c r="I2" s="44">
        <f>F2/E2*D12</f>
        <v>0.89064230560086999</v>
      </c>
      <c r="J2" s="48">
        <v>1000</v>
      </c>
      <c r="K2" s="48">
        <v>780</v>
      </c>
      <c r="L2" s="48">
        <v>20</v>
      </c>
      <c r="M2" s="56">
        <f>G2*D12</f>
        <v>2.4071413664888377E-2</v>
      </c>
    </row>
    <row r="3" spans="1:13" s="57" customFormat="1" ht="14.4" x14ac:dyDescent="0.3">
      <c r="A3" s="44" t="s">
        <v>33</v>
      </c>
      <c r="B3" s="45">
        <v>37</v>
      </c>
      <c r="C3" s="46">
        <v>535</v>
      </c>
      <c r="D3" s="47">
        <f t="shared" ref="D3" si="2">C3/3.6</f>
        <v>148.61111111111111</v>
      </c>
      <c r="E3" s="46">
        <v>1839</v>
      </c>
      <c r="F3" s="46">
        <v>3160</v>
      </c>
      <c r="G3" s="46">
        <f t="shared" ref="G3" si="3">F3/E3/B3</f>
        <v>4.6441220992607612E-2</v>
      </c>
      <c r="H3" s="44">
        <f>F3/E3</f>
        <v>1.7183251767264818</v>
      </c>
      <c r="I3" s="44">
        <f>F3/E3*D12</f>
        <v>0.89064230560086999</v>
      </c>
      <c r="J3" s="48">
        <v>1000</v>
      </c>
      <c r="K3" s="48">
        <v>780</v>
      </c>
      <c r="L3" s="48">
        <v>20</v>
      </c>
      <c r="M3" s="56">
        <f>G3*D12</f>
        <v>2.4071413664888377E-2</v>
      </c>
    </row>
    <row r="4" spans="1:13" ht="14.4" x14ac:dyDescent="0.3">
      <c r="A4" s="44" t="s">
        <v>34</v>
      </c>
      <c r="B4" s="45">
        <v>80</v>
      </c>
      <c r="C4" s="44">
        <v>667</v>
      </c>
      <c r="D4" s="47">
        <f t="shared" si="0"/>
        <v>185.27777777777777</v>
      </c>
      <c r="E4" s="46">
        <v>2656</v>
      </c>
      <c r="F4" s="46">
        <v>6526</v>
      </c>
      <c r="G4" s="46">
        <f t="shared" si="1"/>
        <v>3.0713478915662652E-2</v>
      </c>
      <c r="H4" s="44">
        <f t="shared" ref="H4" si="4">F4/E4</f>
        <v>2.4570783132530121</v>
      </c>
      <c r="I4" s="44">
        <f>F4/E4*$D$12</f>
        <v>1.2735528313253013</v>
      </c>
      <c r="J4" s="48">
        <v>1425</v>
      </c>
      <c r="K4" s="48">
        <v>1289</v>
      </c>
      <c r="L4" s="48">
        <v>20</v>
      </c>
      <c r="M4" s="56">
        <f>G4*$D$12</f>
        <v>1.5919410391566267E-2</v>
      </c>
    </row>
    <row r="5" spans="1:13" ht="15" customHeight="1" x14ac:dyDescent="0.3">
      <c r="A5" s="44" t="s">
        <v>34</v>
      </c>
      <c r="B5" s="45">
        <v>80</v>
      </c>
      <c r="C5" s="44">
        <v>667</v>
      </c>
      <c r="D5" s="47">
        <f t="shared" ref="D5:D7" si="5">C5/3.6</f>
        <v>185.27777777777777</v>
      </c>
      <c r="E5" s="46">
        <v>2656</v>
      </c>
      <c r="F5" s="46">
        <v>6526</v>
      </c>
      <c r="G5" s="46">
        <f t="shared" ref="G5:G7" si="6">F5/E5/B5</f>
        <v>3.0713478915662652E-2</v>
      </c>
      <c r="H5" s="44">
        <f t="shared" ref="H5:H7" si="7">F5/E5</f>
        <v>2.4570783132530121</v>
      </c>
      <c r="I5" s="44">
        <f t="shared" ref="I5:I7" si="8">F5/E5*$D$12</f>
        <v>1.2735528313253013</v>
      </c>
      <c r="J5" s="48">
        <v>1425</v>
      </c>
      <c r="K5" s="48">
        <v>1289</v>
      </c>
      <c r="L5" s="48">
        <v>20</v>
      </c>
      <c r="M5" s="56">
        <f t="shared" ref="M5:M7" si="9">G5*$D$12</f>
        <v>1.5919410391566267E-2</v>
      </c>
    </row>
    <row r="6" spans="1:13" ht="15" customHeight="1" x14ac:dyDescent="0.3">
      <c r="A6" s="44" t="s">
        <v>34</v>
      </c>
      <c r="B6" s="45">
        <v>80</v>
      </c>
      <c r="C6" s="44">
        <v>667</v>
      </c>
      <c r="D6" s="47">
        <f t="shared" si="5"/>
        <v>185.27777777777777</v>
      </c>
      <c r="E6" s="46">
        <v>2656</v>
      </c>
      <c r="F6" s="46">
        <v>6526</v>
      </c>
      <c r="G6" s="46">
        <f t="shared" si="6"/>
        <v>3.0713478915662652E-2</v>
      </c>
      <c r="H6" s="44">
        <f t="shared" si="7"/>
        <v>2.4570783132530121</v>
      </c>
      <c r="I6" s="44">
        <f t="shared" si="8"/>
        <v>1.2735528313253013</v>
      </c>
      <c r="J6" s="48">
        <v>1425</v>
      </c>
      <c r="K6" s="48">
        <v>1289</v>
      </c>
      <c r="L6" s="48">
        <v>20</v>
      </c>
      <c r="M6" s="56">
        <f t="shared" si="9"/>
        <v>1.5919410391566267E-2</v>
      </c>
    </row>
    <row r="7" spans="1:13" ht="15" customHeight="1" x14ac:dyDescent="0.3">
      <c r="A7" s="44" t="s">
        <v>34</v>
      </c>
      <c r="B7" s="45">
        <v>80</v>
      </c>
      <c r="C7" s="44">
        <v>667</v>
      </c>
      <c r="D7" s="47">
        <f t="shared" si="5"/>
        <v>185.27777777777777</v>
      </c>
      <c r="E7" s="46">
        <v>2656</v>
      </c>
      <c r="F7" s="46">
        <v>6526</v>
      </c>
      <c r="G7" s="46">
        <f t="shared" si="6"/>
        <v>3.0713478915662652E-2</v>
      </c>
      <c r="H7" s="44">
        <f t="shared" si="7"/>
        <v>2.4570783132530121</v>
      </c>
      <c r="I7" s="44">
        <f t="shared" si="8"/>
        <v>1.2735528313253013</v>
      </c>
      <c r="J7" s="48">
        <v>1425</v>
      </c>
      <c r="K7" s="48">
        <v>1289</v>
      </c>
      <c r="L7" s="48">
        <v>20</v>
      </c>
      <c r="M7" s="56">
        <f t="shared" si="9"/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Nils de Krom</cp:lastModifiedBy>
  <dcterms:created xsi:type="dcterms:W3CDTF">2021-11-07T15:34:55Z</dcterms:created>
  <dcterms:modified xsi:type="dcterms:W3CDTF">2021-12-10T15:16:07Z</dcterms:modified>
</cp:coreProperties>
</file>