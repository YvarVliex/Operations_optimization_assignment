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Nils de Krom\Desktop\Operations Optimisation Assignment\"/>
    </mc:Choice>
  </mc:AlternateContent>
  <xr:revisionPtr revIDLastSave="0" documentId="13_ncr:1_{CFF02615-2A68-4ADA-820C-D4F2E25DC7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2" i="6"/>
  <c r="D11" i="7"/>
  <c r="H3" i="7"/>
  <c r="G3" i="7"/>
  <c r="D3" i="7"/>
  <c r="H2" i="7"/>
  <c r="G2" i="7"/>
  <c r="D2" i="7"/>
  <c r="B27" i="6"/>
  <c r="G8" i="6" s="1"/>
  <c r="D8" i="6"/>
  <c r="F8" i="6" s="1"/>
  <c r="D7" i="6"/>
  <c r="F7" i="6" s="1"/>
  <c r="D6" i="6"/>
  <c r="E6" i="6" s="1"/>
  <c r="E8" i="6" s="1"/>
  <c r="G5" i="6"/>
  <c r="F5" i="6"/>
  <c r="D5" i="6"/>
  <c r="E5" i="6" s="1"/>
  <c r="D4" i="6"/>
  <c r="F4" i="6" s="1"/>
  <c r="D3" i="6"/>
  <c r="F3" i="6" s="1"/>
  <c r="D2" i="6"/>
  <c r="F2" i="6" s="1"/>
  <c r="D19" i="4"/>
  <c r="M3" i="4"/>
  <c r="E2" i="6" l="1"/>
  <c r="E3" i="6"/>
  <c r="F6" i="6"/>
  <c r="G7" i="6"/>
  <c r="G4" i="6"/>
  <c r="G6" i="6"/>
  <c r="G3" i="6"/>
  <c r="G2" i="6"/>
  <c r="I3" i="7"/>
  <c r="I2" i="7"/>
  <c r="E4" i="6"/>
  <c r="E7" i="6"/>
</calcChain>
</file>

<file path=xl/sharedStrings.xml><?xml version="1.0" encoding="utf-8"?>
<sst xmlns="http://schemas.openxmlformats.org/spreadsheetml/2006/main" count="119" uniqueCount="71">
  <si>
    <t>Cost per passenger</t>
  </si>
  <si>
    <t>Destination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</si>
  <si>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</si>
  <si>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</si>
  <si>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</si>
  <si>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</si>
  <si>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</si>
  <si>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</si>
  <si>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</si>
  <si>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</si>
  <si>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</si>
  <si>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</si>
  <si>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</si>
  <si>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</si>
  <si>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</si>
  <si>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</si>
  <si>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</si>
  <si>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</si>
  <si>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</si>
  <si>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</si>
  <si>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</si>
  <si>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</si>
  <si>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</si>
  <si>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</si>
  <si>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</si>
  <si>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</si>
  <si>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</si>
  <si>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</si>
  <si>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</si>
  <si>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</si>
  <si>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</si>
  <si>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</si>
  <si>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</si>
  <si>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Number in fleet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</si>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</sst>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0" fontId="2" fillId="0" borderId="0" xfId="0" quotePrefix="1" applyFont="1" applyAlignment="1"/>
    <xf numFmtId="0" fontId="2" fillId="0" borderId="0" xfId="0" applyFont="1"/>
    <xf numFmtId="0" fontId="7" fillId="0" borderId="0" xfId="0" applyFont="1" applyAlignment="1"/>
    <xf numFmtId="0" fontId="8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/>
    <xf numFmtId="0" fontId="5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4" xfId="0" applyFont="1" applyBorder="1"/>
    <xf numFmtId="1" fontId="4" fillId="0" borderId="1" xfId="0" applyNumberFormat="1" applyFont="1" applyBorder="1"/>
    <xf numFmtId="1" fontId="4" fillId="0" borderId="2" xfId="0" applyNumberFormat="1" applyFont="1" applyBorder="1"/>
    <xf numFmtId="1" fontId="5" fillId="0" borderId="0" xfId="0" applyNumberFormat="1" applyFont="1"/>
    <xf numFmtId="2" fontId="3" fillId="0" borderId="0" xfId="0" applyNumberFormat="1" applyFont="1"/>
    <xf numFmtId="1" fontId="4" fillId="0" borderId="3" xfId="0" applyNumberFormat="1" applyFont="1" applyBorder="1"/>
    <xf numFmtId="1" fontId="4" fillId="0" borderId="0" xfId="0" applyNumberFormat="1" applyFont="1"/>
    <xf numFmtId="1" fontId="4" fillId="0" borderId="4" xfId="0" applyNumberFormat="1" applyFont="1" applyBorder="1"/>
    <xf numFmtId="1" fontId="4" fillId="0" borderId="5" xfId="0" applyNumberFormat="1" applyFont="1" applyBorder="1"/>
    <xf numFmtId="1" fontId="4" fillId="0" borderId="6" xfId="0" applyNumberFormat="1" applyFont="1" applyBorder="1"/>
    <xf numFmtId="1" fontId="2" fillId="0" borderId="0" xfId="0" applyNumberFormat="1" applyFont="1"/>
    <xf numFmtId="0" fontId="11" fillId="0" borderId="0" xfId="0" applyFont="1" applyAlignment="1">
      <alignment horizontal="center"/>
    </xf>
    <xf numFmtId="0" fontId="10" fillId="0" borderId="0" xfId="0" applyFont="1" applyAlignment="1"/>
    <xf numFmtId="1" fontId="4" fillId="0" borderId="10" xfId="0" applyNumberFormat="1" applyFont="1" applyBorder="1"/>
    <xf numFmtId="1" fontId="4" fillId="0" borderId="11" xfId="0" applyNumberFormat="1" applyFont="1" applyBorder="1"/>
    <xf numFmtId="1" fontId="4" fillId="0" borderId="12" xfId="0" applyNumberFormat="1" applyFont="1" applyBorder="1"/>
    <xf numFmtId="1" fontId="4" fillId="0" borderId="13" xfId="0" applyNumberFormat="1" applyFont="1" applyBorder="1"/>
    <xf numFmtId="1" fontId="4" fillId="0" borderId="14" xfId="0" applyNumberFormat="1" applyFont="1" applyBorder="1"/>
    <xf numFmtId="1" fontId="4" fillId="0" borderId="15" xfId="0" applyNumberFormat="1" applyFont="1" applyBorder="1"/>
    <xf numFmtId="1" fontId="4" fillId="2" borderId="7" xfId="0" applyNumberFormat="1" applyFont="1" applyFill="1" applyBorder="1" applyAlignment="1"/>
    <xf numFmtId="1" fontId="4" fillId="2" borderId="8" xfId="0" applyNumberFormat="1" applyFont="1" applyFill="1" applyBorder="1" applyAlignment="1"/>
    <xf numFmtId="0" fontId="4" fillId="0" borderId="6" xfId="0" applyFont="1" applyBorder="1"/>
    <xf numFmtId="1" fontId="4" fillId="2" borderId="9" xfId="0" applyNumberFormat="1" applyFont="1" applyFill="1" applyBorder="1" applyAlignment="1"/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2" fillId="0" borderId="0" xfId="0" applyFont="1" applyAlignment="1"/>
    <xf numFmtId="0" fontId="2" fillId="0" borderId="16" xfId="0" applyFont="1" applyBorder="1" applyAlignment="1"/>
    <xf numFmtId="0" fontId="2" fillId="0" borderId="17" xfId="0" applyFont="1" applyBorder="1" applyAlignment="1">
      <alignment wrapText="1"/>
    </xf>
    <xf numFmtId="0" fontId="2" fillId="0" borderId="18" xfId="0" applyFont="1" applyBorder="1" applyAlignment="1"/>
    <xf numFmtId="0" fontId="2" fillId="0" borderId="19" xfId="0" applyFont="1" applyBorder="1" applyAlignment="1"/>
    <xf numFmtId="0" fontId="2" fillId="0" borderId="20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17" xfId="0" applyFont="1" applyBorder="1" applyAlignment="1"/>
    <xf numFmtId="0" fontId="2" fillId="0" borderId="23" xfId="0" applyFont="1" applyBorder="1"/>
    <xf numFmtId="0" fontId="0" fillId="0" borderId="0" xfId="0" applyFont="1" applyAlignment="1"/>
    <xf numFmtId="0" fontId="10" fillId="0" borderId="0" xfId="0" applyFont="1" applyAlignment="1">
      <alignment horizontal="center"/>
    </xf>
    <xf numFmtId="1" fontId="4" fillId="0" borderId="8" xfId="0" applyNumberFormat="1" applyFont="1" applyFill="1" applyBorder="1"/>
    <xf numFmtId="0" fontId="0" fillId="0" borderId="8" xfId="0" applyFont="1" applyFill="1" applyBorder="1" applyAlignment="1"/>
    <xf numFmtId="0" fontId="2" fillId="0" borderId="8" xfId="0" applyFont="1" applyFill="1" applyBorder="1" applyAlignment="1"/>
    <xf numFmtId="0" fontId="2" fillId="0" borderId="8" xfId="0" applyFont="1" applyFill="1" applyBorder="1"/>
    <xf numFmtId="1" fontId="5" fillId="0" borderId="8" xfId="0" applyNumberFormat="1" applyFont="1" applyFill="1" applyBorder="1"/>
    <xf numFmtId="1" fontId="2" fillId="0" borderId="8" xfId="0" applyNumberFormat="1" applyFont="1" applyFill="1" applyBorder="1"/>
    <xf numFmtId="2" fontId="4" fillId="0" borderId="8" xfId="0" applyNumberFormat="1" applyFont="1" applyFill="1" applyBorder="1"/>
    <xf numFmtId="2" fontId="3" fillId="0" borderId="8" xfId="0" applyNumberFormat="1" applyFont="1" applyFill="1" applyBorder="1"/>
    <xf numFmtId="0" fontId="14" fillId="0" borderId="0" xfId="0" applyFont="1" applyAlignment="1"/>
    <xf numFmtId="0" fontId="1" fillId="0" borderId="0" xfId="0" applyFont="1" applyAlignment="1">
      <alignment horizontal="right" vertical="center"/>
    </xf>
    <xf numFmtId="0" fontId="14" fillId="0" borderId="0" xfId="0" applyFont="1" applyAlignment="1">
      <alignment horizontal="right"/>
    </xf>
    <xf numFmtId="3" fontId="1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5" fillId="0" borderId="0" xfId="0" applyFont="1" applyAlignment="1">
      <alignment wrapText="1"/>
    </xf>
    <xf numFmtId="3" fontId="1" fillId="0" borderId="0" xfId="0" applyNumberFormat="1" applyFont="1" applyAlignment="1"/>
    <xf numFmtId="0" fontId="1" fillId="0" borderId="0" xfId="0" applyFont="1"/>
    <xf numFmtId="0" fontId="1" fillId="0" borderId="0" xfId="0" applyFont="1" applyAlignment="1"/>
    <xf numFmtId="0" fontId="14" fillId="0" borderId="0" xfId="0" applyFont="1" applyFill="1" applyAlignment="1"/>
    <xf numFmtId="0" fontId="13" fillId="0" borderId="0" xfId="0" applyFont="1" applyAlignment="1"/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B8" sqref="B8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9"/>
      <c r="B1" s="72" t="s">
        <v>69</v>
      </c>
      <c r="C1" s="49"/>
      <c r="D1" s="6" t="s">
        <v>9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10</v>
      </c>
      <c r="M1" s="71" t="s">
        <v>11</v>
      </c>
    </row>
    <row r="2" spans="1:19" ht="14.25" customHeight="1" x14ac:dyDescent="0.3">
      <c r="A2" s="49"/>
      <c r="B2" s="49"/>
      <c r="C2" s="49"/>
      <c r="D2" s="25" t="s">
        <v>19</v>
      </c>
      <c r="E2" s="25" t="s">
        <v>12</v>
      </c>
      <c r="F2" s="25" t="s">
        <v>13</v>
      </c>
      <c r="G2" s="25" t="s">
        <v>14</v>
      </c>
      <c r="H2" s="25" t="s">
        <v>15</v>
      </c>
      <c r="I2" s="25" t="s">
        <v>16</v>
      </c>
      <c r="J2" s="25" t="s">
        <v>17</v>
      </c>
      <c r="K2" s="25" t="s">
        <v>18</v>
      </c>
      <c r="L2" s="25" t="s">
        <v>20</v>
      </c>
      <c r="M2" s="70"/>
    </row>
    <row r="3" spans="1:19" ht="14.25" customHeight="1" x14ac:dyDescent="0.3">
      <c r="A3" s="26" t="s">
        <v>45</v>
      </c>
      <c r="B3" s="9" t="s">
        <v>9</v>
      </c>
      <c r="C3" s="25" t="s">
        <v>19</v>
      </c>
      <c r="D3" s="27">
        <v>9307.8750664956679</v>
      </c>
      <c r="E3" s="28">
        <v>31.677435184765173</v>
      </c>
      <c r="F3" s="28">
        <v>246.09365064310074</v>
      </c>
      <c r="G3" s="28">
        <v>982.33964956267494</v>
      </c>
      <c r="H3" s="28">
        <v>925.42879705728319</v>
      </c>
      <c r="I3" s="28">
        <v>559.7477412091697</v>
      </c>
      <c r="J3" s="28">
        <v>284.41859899297725</v>
      </c>
      <c r="K3" s="28">
        <v>3730.6115209672698</v>
      </c>
      <c r="L3" s="29">
        <v>380.80753988709142</v>
      </c>
      <c r="M3" s="17">
        <f>SUM(D3:L3)</f>
        <v>16449</v>
      </c>
    </row>
    <row r="4" spans="1:19" ht="14.25" customHeight="1" x14ac:dyDescent="0.25">
      <c r="O4" s="52"/>
      <c r="P4" s="52"/>
      <c r="Q4" s="52"/>
    </row>
    <row r="5" spans="1:19" ht="14.25" customHeight="1" x14ac:dyDescent="0.3">
      <c r="F5" s="20"/>
      <c r="G5" s="20"/>
      <c r="H5" s="20"/>
      <c r="I5" s="20"/>
      <c r="J5" s="20"/>
      <c r="K5" s="20"/>
      <c r="L5" s="20"/>
      <c r="M5" s="20"/>
      <c r="N5" s="17"/>
      <c r="O5" s="52"/>
      <c r="P5" s="52"/>
      <c r="Q5" s="52"/>
    </row>
    <row r="6" spans="1:19" ht="14.25" customHeight="1" x14ac:dyDescent="0.3">
      <c r="F6" s="20"/>
      <c r="G6" s="20"/>
      <c r="H6" s="20"/>
      <c r="I6" s="20"/>
      <c r="J6" s="20"/>
      <c r="K6" s="20"/>
      <c r="L6" s="20"/>
      <c r="M6" s="20"/>
      <c r="N6" s="17"/>
      <c r="O6" s="52"/>
      <c r="P6" s="52"/>
      <c r="Q6" s="52"/>
    </row>
    <row r="7" spans="1:19" ht="14.25" customHeight="1" x14ac:dyDescent="0.3">
      <c r="A7" s="49"/>
      <c r="B7" s="49"/>
      <c r="C7" s="49"/>
      <c r="D7" s="26" t="s">
        <v>1</v>
      </c>
      <c r="F7" s="20"/>
      <c r="G7" s="20"/>
      <c r="H7" s="20"/>
      <c r="I7" s="20"/>
      <c r="J7" s="20"/>
      <c r="K7" s="20"/>
      <c r="L7" s="20"/>
      <c r="M7" s="20"/>
      <c r="N7" s="17"/>
      <c r="O7" s="54"/>
      <c r="P7" s="52"/>
      <c r="Q7" s="52"/>
    </row>
    <row r="8" spans="1:19" ht="14.25" customHeight="1" x14ac:dyDescent="0.3">
      <c r="A8" s="49"/>
      <c r="B8" s="72"/>
      <c r="C8" s="49"/>
      <c r="D8" s="25" t="s">
        <v>19</v>
      </c>
      <c r="G8" s="20"/>
      <c r="H8" s="20"/>
      <c r="I8" s="20"/>
      <c r="J8" s="20"/>
      <c r="K8" s="20"/>
      <c r="L8" s="20"/>
      <c r="M8" s="20"/>
      <c r="N8" s="17"/>
      <c r="O8" s="55"/>
      <c r="P8" s="52"/>
      <c r="Q8" s="52"/>
      <c r="S8" s="18"/>
    </row>
    <row r="9" spans="1:19" ht="14.25" customHeight="1" x14ac:dyDescent="0.3">
      <c r="A9" s="49"/>
      <c r="B9" s="72" t="s">
        <v>70</v>
      </c>
      <c r="C9" s="49"/>
      <c r="D9" s="6" t="s">
        <v>9</v>
      </c>
      <c r="F9" s="20"/>
      <c r="G9" s="20"/>
      <c r="H9" s="20"/>
      <c r="I9" s="20"/>
      <c r="J9" s="20"/>
      <c r="K9" s="20"/>
      <c r="L9" s="20"/>
      <c r="M9" s="20"/>
      <c r="N9" s="17"/>
      <c r="O9" s="55"/>
      <c r="P9" s="52"/>
      <c r="Q9" s="52"/>
      <c r="S9" s="18"/>
    </row>
    <row r="10" spans="1:19" ht="14.25" customHeight="1" x14ac:dyDescent="0.3">
      <c r="A10" s="50" t="s">
        <v>45</v>
      </c>
      <c r="B10" s="9" t="s">
        <v>9</v>
      </c>
      <c r="C10" s="25" t="s">
        <v>19</v>
      </c>
      <c r="D10" s="30">
        <v>9307.8750664956679</v>
      </c>
      <c r="F10" s="20"/>
      <c r="G10" s="20"/>
      <c r="H10" s="20"/>
      <c r="I10" s="20"/>
      <c r="J10" s="20"/>
      <c r="K10" s="20"/>
      <c r="L10" s="20"/>
      <c r="M10" s="20"/>
      <c r="N10" s="17"/>
      <c r="O10" s="55"/>
      <c r="P10" s="52"/>
      <c r="Q10" s="52"/>
      <c r="S10" s="18"/>
    </row>
    <row r="11" spans="1:19" ht="14.25" customHeight="1" x14ac:dyDescent="0.3">
      <c r="A11" s="49"/>
      <c r="B11" s="9" t="s">
        <v>2</v>
      </c>
      <c r="C11" s="25" t="s">
        <v>12</v>
      </c>
      <c r="D11" s="31">
        <v>31.677435184765173</v>
      </c>
      <c r="F11" s="20"/>
      <c r="G11" s="20"/>
      <c r="H11" s="20"/>
      <c r="I11" s="20"/>
      <c r="J11" s="20"/>
      <c r="K11" s="20"/>
      <c r="L11" s="20"/>
      <c r="M11" s="20"/>
      <c r="N11" s="17"/>
      <c r="O11" s="55"/>
      <c r="P11" s="52"/>
      <c r="Q11" s="52"/>
      <c r="S11" s="18"/>
    </row>
    <row r="12" spans="1:19" ht="14.25" customHeight="1" x14ac:dyDescent="0.3">
      <c r="A12" s="49"/>
      <c r="B12" s="9" t="s">
        <v>3</v>
      </c>
      <c r="C12" s="25" t="s">
        <v>13</v>
      </c>
      <c r="D12" s="31">
        <v>246.09365064310074</v>
      </c>
      <c r="F12" s="20"/>
      <c r="G12" s="20"/>
      <c r="H12" s="20"/>
      <c r="I12" s="20"/>
      <c r="J12" s="20"/>
      <c r="K12" s="20"/>
      <c r="L12" s="20"/>
      <c r="M12" s="20"/>
      <c r="N12" s="17"/>
      <c r="O12" s="55"/>
      <c r="P12" s="52"/>
      <c r="Q12" s="52"/>
      <c r="S12" s="18"/>
    </row>
    <row r="13" spans="1:19" ht="14.25" customHeight="1" x14ac:dyDescent="0.3">
      <c r="A13" s="49"/>
      <c r="B13" s="9" t="s">
        <v>4</v>
      </c>
      <c r="C13" s="25" t="s">
        <v>14</v>
      </c>
      <c r="D13" s="31">
        <v>982.33964956267494</v>
      </c>
      <c r="F13" s="17"/>
      <c r="G13" s="17"/>
      <c r="H13" s="17"/>
      <c r="I13" s="17"/>
      <c r="J13" s="17"/>
      <c r="K13" s="17"/>
      <c r="L13" s="17"/>
      <c r="M13" s="17"/>
      <c r="N13" s="20"/>
      <c r="O13" s="55"/>
      <c r="P13" s="52"/>
      <c r="Q13" s="52"/>
      <c r="S13" s="18"/>
    </row>
    <row r="14" spans="1:19" ht="14.25" customHeight="1" x14ac:dyDescent="0.3">
      <c r="A14" s="49"/>
      <c r="B14" s="9" t="s">
        <v>5</v>
      </c>
      <c r="C14" s="25" t="s">
        <v>15</v>
      </c>
      <c r="D14" s="31">
        <v>925.42879705728319</v>
      </c>
      <c r="O14" s="55"/>
      <c r="P14" s="52"/>
      <c r="Q14" s="52"/>
      <c r="S14" s="18"/>
    </row>
    <row r="15" spans="1:19" ht="14.25" customHeight="1" x14ac:dyDescent="0.3">
      <c r="A15" s="49"/>
      <c r="B15" s="9" t="s">
        <v>6</v>
      </c>
      <c r="C15" s="25" t="s">
        <v>16</v>
      </c>
      <c r="D15" s="31">
        <v>559.7477412091697</v>
      </c>
      <c r="O15" s="55"/>
      <c r="P15" s="53"/>
      <c r="Q15" s="52"/>
      <c r="S15" s="18"/>
    </row>
    <row r="16" spans="1:19" ht="14.25" customHeight="1" x14ac:dyDescent="0.3">
      <c r="A16" s="49"/>
      <c r="B16" s="9" t="s">
        <v>7</v>
      </c>
      <c r="C16" s="25" t="s">
        <v>17</v>
      </c>
      <c r="D16" s="31">
        <v>284.41859899297725</v>
      </c>
      <c r="O16" s="55"/>
      <c r="P16" s="52"/>
      <c r="Q16" s="52"/>
      <c r="S16" s="18"/>
    </row>
    <row r="17" spans="1:17" ht="14.25" customHeight="1" x14ac:dyDescent="0.3">
      <c r="A17" s="49"/>
      <c r="B17" s="9" t="s">
        <v>8</v>
      </c>
      <c r="C17" s="25" t="s">
        <v>18</v>
      </c>
      <c r="D17" s="31">
        <v>3730.6115209672698</v>
      </c>
      <c r="O17" s="51"/>
      <c r="P17" s="52"/>
      <c r="Q17" s="52"/>
    </row>
    <row r="18" spans="1:17" ht="14.25" customHeight="1" x14ac:dyDescent="0.3">
      <c r="A18" s="49"/>
      <c r="B18" s="9" t="s">
        <v>10</v>
      </c>
      <c r="C18" s="25" t="s">
        <v>20</v>
      </c>
      <c r="D18" s="32">
        <v>380.80753988709142</v>
      </c>
      <c r="O18" s="52"/>
      <c r="P18" s="52"/>
      <c r="Q18" s="52"/>
    </row>
    <row r="19" spans="1:17" ht="14.25" customHeight="1" x14ac:dyDescent="0.3">
      <c r="A19" s="9"/>
      <c r="B19" s="71" t="s">
        <v>11</v>
      </c>
      <c r="C19" s="70"/>
      <c r="D19" s="17">
        <f>SUM(D10:D18)</f>
        <v>16449</v>
      </c>
      <c r="O19" s="52"/>
      <c r="P19" s="56"/>
      <c r="Q19" s="52"/>
    </row>
    <row r="20" spans="1:17" ht="14.25" customHeight="1" x14ac:dyDescent="0.3">
      <c r="O20" s="57"/>
      <c r="P20" s="52"/>
      <c r="Q20" s="52"/>
    </row>
    <row r="21" spans="1:17" ht="14.25" customHeight="1" x14ac:dyDescent="0.3">
      <c r="D21" s="52"/>
      <c r="E21" s="52"/>
      <c r="F21" s="58"/>
      <c r="G21" s="58"/>
      <c r="H21" s="58"/>
      <c r="I21" s="58"/>
      <c r="J21" s="58"/>
      <c r="K21" s="58"/>
      <c r="L21" s="58"/>
      <c r="M21" s="58"/>
      <c r="N21" s="58"/>
      <c r="O21" s="52"/>
      <c r="P21" s="52"/>
      <c r="Q21" s="52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9" t="s">
        <v>68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</row>
    <row r="2" spans="1:10" ht="14.25" customHeight="1" x14ac:dyDescent="0.3">
      <c r="A2" s="9" t="s">
        <v>2</v>
      </c>
      <c r="B2" s="33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3</v>
      </c>
      <c r="B3" s="19">
        <v>24</v>
      </c>
      <c r="C3" s="34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4</v>
      </c>
      <c r="B4" s="19">
        <v>243</v>
      </c>
      <c r="C4" s="20">
        <v>233</v>
      </c>
      <c r="D4" s="34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5</v>
      </c>
      <c r="B5" s="19">
        <v>262</v>
      </c>
      <c r="C5" s="20">
        <v>253</v>
      </c>
      <c r="D5" s="20">
        <v>24</v>
      </c>
      <c r="E5" s="34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6</v>
      </c>
      <c r="B6" s="19">
        <v>277</v>
      </c>
      <c r="C6" s="20">
        <v>271</v>
      </c>
      <c r="D6" s="13">
        <v>50</v>
      </c>
      <c r="E6" s="20">
        <v>27</v>
      </c>
      <c r="F6" s="34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7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4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8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4">
        <v>0</v>
      </c>
      <c r="I8" s="20">
        <v>164</v>
      </c>
      <c r="J8" s="21">
        <v>260</v>
      </c>
    </row>
    <row r="9" spans="1:10" ht="14.25" customHeight="1" x14ac:dyDescent="0.3">
      <c r="A9" s="9" t="s">
        <v>9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4">
        <v>0</v>
      </c>
      <c r="J9" s="21">
        <v>98</v>
      </c>
    </row>
    <row r="10" spans="1:10" ht="14.25" customHeight="1" x14ac:dyDescent="0.3">
      <c r="A10" s="9" t="s">
        <v>10</v>
      </c>
      <c r="B10" s="22">
        <v>599</v>
      </c>
      <c r="C10" s="23">
        <v>589</v>
      </c>
      <c r="D10" s="35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6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46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27"/>
  <sheetViews>
    <sheetView workbookViewId="0">
      <selection activeCell="G13" sqref="G13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9"/>
  </cols>
  <sheetData>
    <row r="1" spans="1:9" ht="43.2" x14ac:dyDescent="0.3">
      <c r="A1" s="5" t="s">
        <v>24</v>
      </c>
      <c r="B1" s="37" t="s">
        <v>25</v>
      </c>
      <c r="C1" s="6" t="s">
        <v>47</v>
      </c>
      <c r="D1" s="1" t="s">
        <v>48</v>
      </c>
      <c r="E1" s="1" t="s">
        <v>49</v>
      </c>
      <c r="F1" s="1" t="s">
        <v>50</v>
      </c>
      <c r="G1" s="38" t="s">
        <v>51</v>
      </c>
      <c r="H1" s="38" t="s">
        <v>0</v>
      </c>
      <c r="I1" s="1" t="s">
        <v>34</v>
      </c>
    </row>
    <row r="2" spans="1:9" ht="14.4" x14ac:dyDescent="0.3">
      <c r="A2" s="59" t="s">
        <v>35</v>
      </c>
      <c r="B2" s="60">
        <v>37</v>
      </c>
      <c r="C2" s="65">
        <v>15649</v>
      </c>
      <c r="D2" s="66">
        <f t="shared" ref="D2:D8" si="0">C2/1000</f>
        <v>15.648999999999999</v>
      </c>
      <c r="E2" s="66">
        <f>D2*B12</f>
        <v>51.954679999999996</v>
      </c>
      <c r="F2" s="66">
        <f t="shared" ref="F2:F8" si="1">D2*$B$17</f>
        <v>24.72542</v>
      </c>
      <c r="G2" s="66">
        <f t="shared" ref="G2:G8" si="2">B2*$B$27</f>
        <v>336.99600000000004</v>
      </c>
      <c r="H2" s="66">
        <f>$B$27</f>
        <v>9.1080000000000005</v>
      </c>
    </row>
    <row r="3" spans="1:9" ht="14.4" x14ac:dyDescent="0.3">
      <c r="A3" s="59" t="s">
        <v>36</v>
      </c>
      <c r="B3" s="60">
        <v>80</v>
      </c>
      <c r="C3" s="67">
        <v>27442</v>
      </c>
      <c r="D3" s="66">
        <f t="shared" si="0"/>
        <v>27.442</v>
      </c>
      <c r="E3" s="66">
        <f>25*B12+(D3-25)*B13</f>
        <v>92.890100000000004</v>
      </c>
      <c r="F3" s="66">
        <f t="shared" si="1"/>
        <v>43.358360000000005</v>
      </c>
      <c r="G3" s="66">
        <f t="shared" si="2"/>
        <v>728.6400000000001</v>
      </c>
      <c r="H3" s="66">
        <f t="shared" ref="H3:H8" si="3">$B$27</f>
        <v>9.1080000000000005</v>
      </c>
    </row>
    <row r="4" spans="1:9" ht="14.4" x14ac:dyDescent="0.3">
      <c r="A4" s="59" t="s">
        <v>37</v>
      </c>
      <c r="B4" s="60">
        <v>165</v>
      </c>
      <c r="C4" s="68">
        <v>64500</v>
      </c>
      <c r="D4" s="66">
        <f t="shared" si="0"/>
        <v>64.5</v>
      </c>
      <c r="E4" s="66">
        <f>B12*25 + (D4-25)*B13</f>
        <v>242.97499999999999</v>
      </c>
      <c r="F4" s="66">
        <f t="shared" si="1"/>
        <v>101.91000000000001</v>
      </c>
      <c r="G4" s="66">
        <f t="shared" si="2"/>
        <v>1502.8200000000002</v>
      </c>
      <c r="H4" s="66">
        <f t="shared" si="3"/>
        <v>9.1080000000000005</v>
      </c>
    </row>
    <row r="5" spans="1:9" ht="14.4" x14ac:dyDescent="0.3">
      <c r="A5" s="59" t="s">
        <v>38</v>
      </c>
      <c r="B5" s="60">
        <v>180</v>
      </c>
      <c r="C5" s="68">
        <v>67400</v>
      </c>
      <c r="D5" s="66">
        <f t="shared" si="0"/>
        <v>67.400000000000006</v>
      </c>
      <c r="E5" s="66">
        <f>B12*25 + (D5-25)*B13</f>
        <v>254.72000000000003</v>
      </c>
      <c r="F5" s="66">
        <f t="shared" si="1"/>
        <v>106.49200000000002</v>
      </c>
      <c r="G5" s="66">
        <f t="shared" si="2"/>
        <v>1639.44</v>
      </c>
      <c r="H5" s="66">
        <f t="shared" si="3"/>
        <v>9.1080000000000005</v>
      </c>
      <c r="I5" s="10" t="s">
        <v>52</v>
      </c>
    </row>
    <row r="6" spans="1:9" ht="14.4" x14ac:dyDescent="0.3">
      <c r="A6" s="67" t="s">
        <v>39</v>
      </c>
      <c r="B6" s="60">
        <v>186</v>
      </c>
      <c r="C6" s="68">
        <v>79200</v>
      </c>
      <c r="D6" s="66">
        <f t="shared" si="0"/>
        <v>79.2</v>
      </c>
      <c r="E6" s="66">
        <f>25*B12+50*B13+(D6-75)*B14</f>
        <v>305.53399999999999</v>
      </c>
      <c r="F6" s="66">
        <f t="shared" si="1"/>
        <v>125.13600000000001</v>
      </c>
      <c r="G6" s="66">
        <f t="shared" si="2"/>
        <v>1694.0880000000002</v>
      </c>
      <c r="H6" s="66">
        <f t="shared" si="3"/>
        <v>9.1080000000000005</v>
      </c>
      <c r="I6" s="10" t="s">
        <v>53</v>
      </c>
    </row>
    <row r="7" spans="1:9" ht="14.4" x14ac:dyDescent="0.3">
      <c r="A7" s="59" t="s">
        <v>40</v>
      </c>
      <c r="B7" s="60">
        <v>186</v>
      </c>
      <c r="C7" s="68">
        <v>65320</v>
      </c>
      <c r="D7" s="66">
        <f t="shared" si="0"/>
        <v>65.319999999999993</v>
      </c>
      <c r="E7" s="66">
        <f>25*B12+(D7-25)*B13</f>
        <v>246.29599999999996</v>
      </c>
      <c r="F7" s="66">
        <f t="shared" si="1"/>
        <v>103.20559999999999</v>
      </c>
      <c r="G7" s="66">
        <f t="shared" si="2"/>
        <v>1694.0880000000002</v>
      </c>
      <c r="H7" s="66">
        <f t="shared" si="3"/>
        <v>9.1080000000000005</v>
      </c>
      <c r="I7" s="2" t="s">
        <v>54</v>
      </c>
    </row>
    <row r="8" spans="1:9" ht="15" customHeight="1" x14ac:dyDescent="0.45">
      <c r="A8" s="67" t="s">
        <v>41</v>
      </c>
      <c r="B8" s="67">
        <v>190</v>
      </c>
      <c r="C8" s="68">
        <v>79200</v>
      </c>
      <c r="D8" s="66">
        <f t="shared" si="0"/>
        <v>79.2</v>
      </c>
      <c r="E8" s="59">
        <f>E6</f>
        <v>305.53399999999999</v>
      </c>
      <c r="F8" s="66">
        <f t="shared" si="1"/>
        <v>125.13600000000001</v>
      </c>
      <c r="G8" s="66">
        <f t="shared" si="2"/>
        <v>1730.5200000000002</v>
      </c>
      <c r="H8" s="66">
        <f t="shared" si="3"/>
        <v>9.1080000000000005</v>
      </c>
      <c r="I8" s="39" t="s">
        <v>53</v>
      </c>
    </row>
    <row r="11" spans="1:9" ht="28.8" x14ac:dyDescent="0.3">
      <c r="A11" s="40" t="s">
        <v>55</v>
      </c>
      <c r="B11" s="41" t="s">
        <v>56</v>
      </c>
    </row>
    <row r="12" spans="1:9" ht="14.4" x14ac:dyDescent="0.3">
      <c r="A12" s="42" t="s">
        <v>57</v>
      </c>
      <c r="B12" s="43">
        <v>3.32</v>
      </c>
    </row>
    <row r="13" spans="1:9" ht="14.4" x14ac:dyDescent="0.3">
      <c r="A13" s="42" t="s">
        <v>58</v>
      </c>
      <c r="B13" s="43">
        <v>4.05</v>
      </c>
    </row>
    <row r="14" spans="1:9" ht="14.4" x14ac:dyDescent="0.3">
      <c r="A14" s="44" t="s">
        <v>59</v>
      </c>
      <c r="B14" s="45">
        <v>4.7699999999999996</v>
      </c>
    </row>
    <row r="17" spans="1:2" ht="28.8" x14ac:dyDescent="0.3">
      <c r="A17" s="38" t="s">
        <v>60</v>
      </c>
      <c r="B17" s="1">
        <v>1.58</v>
      </c>
    </row>
    <row r="19" spans="1:2" ht="28.8" x14ac:dyDescent="0.3">
      <c r="A19" s="38" t="s">
        <v>61</v>
      </c>
    </row>
    <row r="20" spans="1:2" ht="14.4" x14ac:dyDescent="0.3">
      <c r="A20" s="1" t="s">
        <v>62</v>
      </c>
      <c r="B20" s="1">
        <v>47.39</v>
      </c>
    </row>
    <row r="23" spans="1:2" ht="14.4" x14ac:dyDescent="0.3">
      <c r="A23" s="45" t="s">
        <v>0</v>
      </c>
      <c r="B23" s="46" t="s">
        <v>63</v>
      </c>
    </row>
    <row r="24" spans="1:2" ht="14.4" x14ac:dyDescent="0.3">
      <c r="A24" s="43" t="s">
        <v>64</v>
      </c>
      <c r="B24" s="1">
        <v>6.98</v>
      </c>
    </row>
    <row r="25" spans="1:2" ht="14.4" x14ac:dyDescent="0.3">
      <c r="A25" s="43" t="s">
        <v>65</v>
      </c>
      <c r="B25" s="1">
        <v>0.188</v>
      </c>
    </row>
    <row r="26" spans="1:2" ht="14.4" x14ac:dyDescent="0.3">
      <c r="A26" s="43" t="s">
        <v>66</v>
      </c>
      <c r="B26" s="1">
        <v>1.94</v>
      </c>
    </row>
    <row r="27" spans="1:2" ht="14.4" x14ac:dyDescent="0.3">
      <c r="A27" s="47" t="s">
        <v>67</v>
      </c>
      <c r="B27" s="48">
        <f>SUM(B24:B26)</f>
        <v>9.1080000000000005</v>
      </c>
    </row>
  </sheetData>
  <hyperlinks>
    <hyperlink ref="I8" r:id="rId1" xr:uid="{00000000-0004-0000-0500-000003000000}"/>
    <hyperlink ref="I7" r:id="rId2" xr:uid="{00000000-0004-0000-0500-000002000000}"/>
    <hyperlink ref="I6" r:id="rId3" xr:uid="{00000000-0004-0000-0500-000001000000}"/>
    <hyperlink ref="I5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1"/>
  <sheetViews>
    <sheetView workbookViewId="0">
      <selection activeCell="L8" sqref="L8"/>
    </sheetView>
  </sheetViews>
  <sheetFormatPr defaultColWidth="12.59765625" defaultRowHeight="15" customHeight="1" x14ac:dyDescent="0.25"/>
  <sheetData>
    <row r="1" spans="1:13" ht="29.4" customHeight="1" x14ac:dyDescent="0.3">
      <c r="A1" s="5" t="s">
        <v>24</v>
      </c>
      <c r="B1" s="6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8" t="s">
        <v>31</v>
      </c>
      <c r="I1" s="8" t="s">
        <v>32</v>
      </c>
      <c r="J1" s="8" t="s">
        <v>33</v>
      </c>
      <c r="K1" s="11" t="s">
        <v>42</v>
      </c>
      <c r="L1" s="11" t="s">
        <v>43</v>
      </c>
      <c r="M1" s="64" t="s">
        <v>44</v>
      </c>
    </row>
    <row r="2" spans="1:13" ht="14.4" x14ac:dyDescent="0.3">
      <c r="A2" s="59" t="s">
        <v>35</v>
      </c>
      <c r="B2" s="60">
        <v>37</v>
      </c>
      <c r="C2" s="61">
        <v>535</v>
      </c>
      <c r="D2" s="62">
        <f t="shared" ref="D2:D3" si="0">C2/3.6</f>
        <v>148.61111111111111</v>
      </c>
      <c r="E2" s="61">
        <v>1839</v>
      </c>
      <c r="F2" s="61">
        <v>3160</v>
      </c>
      <c r="G2" s="61">
        <f t="shared" ref="G2:G3" si="1">F2/E2/B2</f>
        <v>4.6441220992607612E-2</v>
      </c>
      <c r="H2" s="59">
        <f t="shared" ref="H2:H3" si="2">F2/E2</f>
        <v>1.7183251767264818</v>
      </c>
      <c r="I2" s="59">
        <f>F2/E2*D11</f>
        <v>0.89064230560086999</v>
      </c>
      <c r="J2" s="59">
        <v>2</v>
      </c>
      <c r="K2" s="63">
        <v>1000</v>
      </c>
      <c r="L2" s="63">
        <v>780</v>
      </c>
      <c r="M2" s="63">
        <v>20</v>
      </c>
    </row>
    <row r="3" spans="1:13" ht="14.4" x14ac:dyDescent="0.3">
      <c r="A3" s="59" t="s">
        <v>36</v>
      </c>
      <c r="B3" s="60">
        <v>80</v>
      </c>
      <c r="C3" s="59">
        <v>667</v>
      </c>
      <c r="D3" s="62">
        <f t="shared" si="0"/>
        <v>185.27777777777777</v>
      </c>
      <c r="E3" s="61">
        <v>2656</v>
      </c>
      <c r="F3" s="61">
        <v>6526</v>
      </c>
      <c r="G3" s="61">
        <f t="shared" si="1"/>
        <v>3.0713478915662652E-2</v>
      </c>
      <c r="H3" s="59">
        <f t="shared" si="2"/>
        <v>2.4570783132530121</v>
      </c>
      <c r="I3" s="59">
        <f>F3/E3*D11</f>
        <v>1.2735528313253013</v>
      </c>
      <c r="J3" s="59">
        <v>4</v>
      </c>
      <c r="K3" s="63">
        <v>1425</v>
      </c>
      <c r="L3" s="63">
        <v>1289</v>
      </c>
      <c r="M3" s="63">
        <v>20</v>
      </c>
    </row>
    <row r="10" spans="1:13" ht="14.4" x14ac:dyDescent="0.3">
      <c r="A10" s="1" t="s">
        <v>21</v>
      </c>
    </row>
    <row r="11" spans="1:13" ht="14.4" x14ac:dyDescent="0.3">
      <c r="A11" s="1">
        <v>0.58899999999999997</v>
      </c>
      <c r="B11" s="1" t="s">
        <v>22</v>
      </c>
      <c r="C11" s="3" t="s">
        <v>23</v>
      </c>
      <c r="D11" s="4">
        <f>0.88*A11</f>
        <v>0.51832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Nils de Krom</cp:lastModifiedBy>
  <dcterms:created xsi:type="dcterms:W3CDTF">2021-11-07T15:34:55Z</dcterms:created>
  <dcterms:modified xsi:type="dcterms:W3CDTF">2021-11-21T16:30:34Z</dcterms:modified>
</cp:coreProperties>
</file>