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TUDelftSID\Documents\GitHub\Operations_optimization_assignment\Sens_analysis\"/>
    </mc:Choice>
  </mc:AlternateContent>
  <xr:revisionPtr revIDLastSave="0" documentId="13_ncr:1_{92D5DEA6-C6D2-4FF6-A971-4EEB67BB3F1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emand Table" sheetId="4" r:id="rId1"/>
    <sheet name="Distance Table" sheetId="5" r:id="rId2"/>
    <sheet name="Cost_sheet" sheetId="6" r:id="rId3"/>
    <sheet name="AC_data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jOPhcmxkdF5MtHOpe/xhzhK7HwAg=="/>
    </ext>
  </extLst>
</workbook>
</file>

<file path=xl/calcChain.xml><?xml version="1.0" encoding="utf-8"?>
<calcChain xmlns="http://schemas.openxmlformats.org/spreadsheetml/2006/main">
  <c r="D8" i="7" l="1"/>
  <c r="G8" i="7"/>
  <c r="H8" i="7"/>
  <c r="I8" i="7"/>
  <c r="M8" i="7"/>
  <c r="H7" i="6"/>
  <c r="G7" i="6"/>
  <c r="D7" i="6"/>
  <c r="F7" i="6" s="1"/>
  <c r="D5" i="4"/>
  <c r="D6" i="4"/>
  <c r="D7" i="4" s="1"/>
  <c r="E7" i="4"/>
  <c r="E6" i="4"/>
  <c r="M2" i="7"/>
  <c r="G7" i="4"/>
  <c r="H7" i="4"/>
  <c r="I7" i="4"/>
  <c r="J7" i="4"/>
  <c r="L7" i="4"/>
  <c r="F7" i="4"/>
  <c r="G6" i="4"/>
  <c r="H6" i="4"/>
  <c r="I6" i="4"/>
  <c r="J6" i="4"/>
  <c r="K6" i="4"/>
  <c r="L6" i="4"/>
  <c r="F6" i="4"/>
  <c r="F5" i="4"/>
  <c r="G5" i="4"/>
  <c r="H5" i="4"/>
  <c r="I5" i="4"/>
  <c r="J5" i="4"/>
  <c r="K5" i="4"/>
  <c r="L5" i="4"/>
  <c r="E5" i="4"/>
  <c r="E7" i="6" l="1"/>
  <c r="N6" i="4"/>
  <c r="N7" i="4" s="1"/>
  <c r="N8" i="4" s="1"/>
  <c r="N9" i="4"/>
  <c r="K7" i="4"/>
  <c r="D5" i="6"/>
  <c r="E5" i="6"/>
  <c r="F5" i="6"/>
  <c r="D6" i="6"/>
  <c r="E6" i="6" s="1"/>
  <c r="F6" i="6"/>
  <c r="D8" i="6"/>
  <c r="E8" i="6"/>
  <c r="F8" i="6"/>
  <c r="D3" i="6"/>
  <c r="E3" i="6" s="1"/>
  <c r="D5" i="7"/>
  <c r="G5" i="7"/>
  <c r="H5" i="7"/>
  <c r="D6" i="7"/>
  <c r="G6" i="7"/>
  <c r="H6" i="7"/>
  <c r="D7" i="7"/>
  <c r="G7" i="7"/>
  <c r="H7" i="7"/>
  <c r="H3" i="7"/>
  <c r="G3" i="7"/>
  <c r="D3" i="7"/>
  <c r="F3" i="6" l="1"/>
  <c r="M5" i="7"/>
  <c r="M7" i="7"/>
  <c r="H2" i="7"/>
  <c r="D12" i="7"/>
  <c r="H4" i="7"/>
  <c r="G4" i="7"/>
  <c r="M4" i="7" s="1"/>
  <c r="D4" i="7"/>
  <c r="G2" i="7"/>
  <c r="D2" i="7"/>
  <c r="B32" i="6"/>
  <c r="D13" i="6"/>
  <c r="F13" i="6" s="1"/>
  <c r="D12" i="6"/>
  <c r="F12" i="6" s="1"/>
  <c r="D11" i="6"/>
  <c r="E11" i="6" s="1"/>
  <c r="E13" i="6" s="1"/>
  <c r="D10" i="6"/>
  <c r="E10" i="6" s="1"/>
  <c r="D9" i="6"/>
  <c r="F9" i="6" s="1"/>
  <c r="D4" i="6"/>
  <c r="D2" i="6"/>
  <c r="D19" i="4"/>
  <c r="M3" i="4"/>
  <c r="G13" i="6" l="1"/>
  <c r="G5" i="6"/>
  <c r="H5" i="6"/>
  <c r="G3" i="6"/>
  <c r="G6" i="6"/>
  <c r="G2" i="6"/>
  <c r="H3" i="6"/>
  <c r="H6" i="6"/>
  <c r="G8" i="6"/>
  <c r="H8" i="6"/>
  <c r="E4" i="6"/>
  <c r="F4" i="6"/>
  <c r="F2" i="6"/>
  <c r="E2" i="6"/>
  <c r="H4" i="6"/>
  <c r="F10" i="6"/>
  <c r="H2" i="6"/>
  <c r="G10" i="6"/>
  <c r="H13" i="6"/>
  <c r="H12" i="6"/>
  <c r="H11" i="6"/>
  <c r="H10" i="6"/>
  <c r="H9" i="6"/>
  <c r="I2" i="7"/>
  <c r="I5" i="7"/>
  <c r="I4" i="7"/>
  <c r="M3" i="7"/>
  <c r="I7" i="7"/>
  <c r="I3" i="7"/>
  <c r="M6" i="7"/>
  <c r="I6" i="7"/>
  <c r="F11" i="6"/>
  <c r="G12" i="6"/>
  <c r="G9" i="6"/>
  <c r="G11" i="6"/>
  <c r="G4" i="6"/>
  <c r="E9" i="6"/>
  <c r="E12" i="6"/>
</calcChain>
</file>

<file path=xl/sharedStrings.xml><?xml version="1.0" encoding="utf-8"?>
<sst xmlns="http://schemas.openxmlformats.org/spreadsheetml/2006/main" count="132" uniqueCount="74">
  <si>
    <t>Cost per passenger</t>
  </si>
  <si>
    <t>Corvo</t>
  </si>
  <si>
    <t>Flores</t>
  </si>
  <si>
    <t>Faial</t>
  </si>
  <si>
    <t>Pico</t>
  </si>
  <si>
    <t>São Jorge</t>
  </si>
  <si>
    <t>Graciosa</t>
  </si>
  <si>
    <t>Terceira</t>
  </si>
  <si>
    <t>São Miguel</t>
  </si>
  <si>
    <t>Santa Maria</t>
  </si>
  <si>
    <t>TOTAL</t>
  </si>
  <si>
    <t>CVU</t>
  </si>
  <si>
    <t>FLW</t>
  </si>
  <si>
    <t>HOR</t>
  </si>
  <si>
    <t>PIX</t>
  </si>
  <si>
    <t>SJZ</t>
  </si>
  <si>
    <t>GRW</t>
  </si>
  <si>
    <t>TER</t>
  </si>
  <si>
    <t>PDL</t>
  </si>
  <si>
    <t>SMA</t>
  </si>
  <si>
    <t>price per l/kersone portugal</t>
  </si>
  <si>
    <t>dollar</t>
  </si>
  <si>
    <t>=</t>
  </si>
  <si>
    <t>Aircraft type</t>
  </si>
  <si>
    <t>Number of Seats</t>
  </si>
  <si>
    <t>Speed [km/h]</t>
  </si>
  <si>
    <t>Speed [m/s]</t>
  </si>
  <si>
    <t>Range [km]</t>
  </si>
  <si>
    <t>Fuel [L]</t>
  </si>
  <si>
    <t>Fuel eff [L/km/pax]</t>
  </si>
  <si>
    <t>Fuel eff L/km</t>
  </si>
  <si>
    <t>Fuel cost L/km</t>
  </si>
  <si>
    <t>Links</t>
  </si>
  <si>
    <t>Bombardier Dash 8 Q200</t>
  </si>
  <si>
    <t>Bombardier Dash 8 Q400</t>
  </si>
  <si>
    <t>Airbus A320-200</t>
  </si>
  <si>
    <t>Airbus A320neo</t>
  </si>
  <si>
    <t>Airbus 321neo</t>
  </si>
  <si>
    <t>Boeing 737-800</t>
  </si>
  <si>
    <t>Airbus 321neo LR</t>
  </si>
  <si>
    <t>Take-Off Distance (@MTOW)</t>
  </si>
  <si>
    <t>Landing Distance (@MLW)</t>
  </si>
  <si>
    <t>Turnaround Time (mins)</t>
  </si>
  <si>
    <t>Source</t>
  </si>
  <si>
    <t>Distances between the island's airports --&gt; hemelsbreed</t>
  </si>
  <si>
    <t>MLW [kg]</t>
  </si>
  <si>
    <t>MLW [ton]</t>
  </si>
  <si>
    <t>Landing/TO cost [Euro]</t>
  </si>
  <si>
    <t>Parking [Euro/day]</t>
  </si>
  <si>
    <t>Cost all passengers [euro]</t>
  </si>
  <si>
    <t>https://aircraft.airbus.com/en/aircraft/a320/a320neo</t>
  </si>
  <si>
    <t>https://aircraft.airbus.com/en/aircraft/a320/a321neo</t>
  </si>
  <si>
    <t>https://www.airline-experience.com/guadeloupe/en/boeing-737-800/</t>
  </si>
  <si>
    <t>landing weight [ton]</t>
  </si>
  <si>
    <t>cost/ton [euro/ton]</t>
  </si>
  <si>
    <t>0-25</t>
  </si>
  <si>
    <t>25-75</t>
  </si>
  <si>
    <t>&gt;75</t>
  </si>
  <si>
    <t>Parking cost/ton [euro] [per day]</t>
  </si>
  <si>
    <t>When removed later then planned</t>
  </si>
  <si>
    <t>Surcharge (each 15 min)</t>
  </si>
  <si>
    <t>[euro]</t>
  </si>
  <si>
    <t>Passenger service</t>
  </si>
  <si>
    <t>Equipment</t>
  </si>
  <si>
    <t xml:space="preserve">Security </t>
  </si>
  <si>
    <t xml:space="preserve">tot cost </t>
  </si>
  <si>
    <t>Islands</t>
  </si>
  <si>
    <t>Start</t>
  </si>
  <si>
    <t>End</t>
  </si>
  <si>
    <t>Fuel cost [L/km/pax]</t>
  </si>
  <si>
    <t>totaal</t>
  </si>
  <si>
    <t>per a/c</t>
  </si>
  <si>
    <t>per dag</t>
  </si>
  <si>
    <t>h per dag vliegen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</si>
</sst>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0000FF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Arial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u/>
      <sz val="11"/>
      <color rgb="FF000000"/>
      <name val="Inconsolata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4" fillId="0" borderId="0" xfId="0" quotePrefix="1" applyFont="1" applyAlignment="1"/>
    <xf numFmtId="0" fontId="4" fillId="0" borderId="0" xfId="0" applyFont="1"/>
    <xf numFmtId="0" fontId="9" fillId="0" borderId="0" xfId="0" applyFont="1" applyAlignment="1"/>
    <xf numFmtId="0" fontId="10" fillId="0" borderId="0" xfId="0" applyFont="1" applyAlignment="1"/>
    <xf numFmtId="0" fontId="9" fillId="0" borderId="0" xfId="0" applyFont="1" applyAlignment="1"/>
    <xf numFmtId="0" fontId="9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/>
    <xf numFmtId="0" fontId="7" fillId="0" borderId="0" xfId="0" applyFont="1"/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0" borderId="4" xfId="0" applyFont="1" applyBorder="1"/>
    <xf numFmtId="1" fontId="6" fillId="0" borderId="1" xfId="0" applyNumberFormat="1" applyFont="1" applyBorder="1"/>
    <xf numFmtId="1" fontId="6" fillId="0" borderId="2" xfId="0" applyNumberFormat="1" applyFont="1" applyBorder="1"/>
    <xf numFmtId="1" fontId="7" fillId="0" borderId="0" xfId="0" applyNumberFormat="1" applyFont="1"/>
    <xf numFmtId="2" fontId="5" fillId="0" borderId="0" xfId="0" applyNumberFormat="1" applyFont="1"/>
    <xf numFmtId="1" fontId="6" fillId="0" borderId="3" xfId="0" applyNumberFormat="1" applyFont="1" applyBorder="1"/>
    <xf numFmtId="1" fontId="6" fillId="0" borderId="0" xfId="0" applyNumberFormat="1" applyFont="1"/>
    <xf numFmtId="1" fontId="6" fillId="0" borderId="4" xfId="0" applyNumberFormat="1" applyFont="1" applyBorder="1"/>
    <xf numFmtId="1" fontId="6" fillId="0" borderId="5" xfId="0" applyNumberFormat="1" applyFont="1" applyBorder="1"/>
    <xf numFmtId="1" fontId="6" fillId="0" borderId="6" xfId="0" applyNumberFormat="1" applyFont="1" applyBorder="1"/>
    <xf numFmtId="1" fontId="4" fillId="0" borderId="0" xfId="0" applyNumberFormat="1" applyFont="1"/>
    <xf numFmtId="0" fontId="13" fillId="0" borderId="0" xfId="0" applyFont="1" applyAlignment="1">
      <alignment horizontal="center"/>
    </xf>
    <xf numFmtId="0" fontId="12" fillId="0" borderId="0" xfId="0" applyFont="1" applyAlignment="1"/>
    <xf numFmtId="1" fontId="6" fillId="0" borderId="10" xfId="0" applyNumberFormat="1" applyFont="1" applyBorder="1"/>
    <xf numFmtId="1" fontId="6" fillId="0" borderId="11" xfId="0" applyNumberFormat="1" applyFont="1" applyBorder="1"/>
    <xf numFmtId="1" fontId="6" fillId="0" borderId="12" xfId="0" applyNumberFormat="1" applyFont="1" applyBorder="1"/>
    <xf numFmtId="1" fontId="6" fillId="0" borderId="13" xfId="0" applyNumberFormat="1" applyFont="1" applyBorder="1"/>
    <xf numFmtId="1" fontId="6" fillId="2" borderId="7" xfId="0" applyNumberFormat="1" applyFont="1" applyFill="1" applyBorder="1" applyAlignment="1"/>
    <xf numFmtId="1" fontId="6" fillId="2" borderId="8" xfId="0" applyNumberFormat="1" applyFont="1" applyFill="1" applyBorder="1" applyAlignment="1"/>
    <xf numFmtId="0" fontId="6" fillId="0" borderId="6" xfId="0" applyFont="1" applyBorder="1"/>
    <xf numFmtId="1" fontId="6" fillId="2" borderId="9" xfId="0" applyNumberFormat="1" applyFont="1" applyFill="1" applyBorder="1" applyAlignment="1"/>
    <xf numFmtId="0" fontId="1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4" fillId="0" borderId="0" xfId="0" applyFont="1" applyAlignment="1"/>
    <xf numFmtId="0" fontId="4" fillId="0" borderId="14" xfId="0" applyFont="1" applyBorder="1" applyAlignment="1"/>
    <xf numFmtId="0" fontId="4" fillId="0" borderId="15" xfId="0" applyFont="1" applyBorder="1" applyAlignment="1">
      <alignment wrapText="1"/>
    </xf>
    <xf numFmtId="0" fontId="4" fillId="0" borderId="16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4" fillId="0" borderId="19" xfId="0" applyFont="1" applyBorder="1" applyAlignment="1"/>
    <xf numFmtId="0" fontId="4" fillId="0" borderId="20" xfId="0" applyFont="1" applyBorder="1" applyAlignment="1"/>
    <xf numFmtId="0" fontId="4" fillId="0" borderId="15" xfId="0" applyFont="1" applyBorder="1" applyAlignment="1"/>
    <xf numFmtId="0" fontId="4" fillId="0" borderId="21" xfId="0" applyFont="1" applyBorder="1"/>
    <xf numFmtId="0" fontId="0" fillId="0" borderId="0" xfId="0" applyFont="1" applyAlignment="1"/>
    <xf numFmtId="0" fontId="12" fillId="0" borderId="0" xfId="0" applyFont="1" applyAlignment="1">
      <alignment horizontal="center"/>
    </xf>
    <xf numFmtId="1" fontId="6" fillId="0" borderId="8" xfId="0" applyNumberFormat="1" applyFont="1" applyFill="1" applyBorder="1"/>
    <xf numFmtId="0" fontId="0" fillId="0" borderId="8" xfId="0" applyFont="1" applyFill="1" applyBorder="1" applyAlignment="1"/>
    <xf numFmtId="0" fontId="4" fillId="0" borderId="8" xfId="0" applyFont="1" applyFill="1" applyBorder="1" applyAlignment="1"/>
    <xf numFmtId="0" fontId="4" fillId="0" borderId="8" xfId="0" applyFont="1" applyFill="1" applyBorder="1"/>
    <xf numFmtId="1" fontId="7" fillId="0" borderId="8" xfId="0" applyNumberFormat="1" applyFont="1" applyFill="1" applyBorder="1"/>
    <xf numFmtId="1" fontId="4" fillId="0" borderId="8" xfId="0" applyNumberFormat="1" applyFont="1" applyFill="1" applyBorder="1"/>
    <xf numFmtId="2" fontId="6" fillId="0" borderId="8" xfId="0" applyNumberFormat="1" applyFont="1" applyFill="1" applyBorder="1"/>
    <xf numFmtId="2" fontId="5" fillId="0" borderId="8" xfId="0" applyNumberFormat="1" applyFont="1" applyFill="1" applyBorder="1"/>
    <xf numFmtId="0" fontId="16" fillId="0" borderId="0" xfId="0" applyFont="1" applyAlignment="1"/>
    <xf numFmtId="0" fontId="3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3" fontId="1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7" fillId="0" borderId="0" xfId="0" applyFont="1" applyAlignment="1">
      <alignment wrapText="1"/>
    </xf>
    <xf numFmtId="3" fontId="3" fillId="0" borderId="0" xfId="0" applyNumberFormat="1" applyFont="1" applyAlignment="1"/>
    <xf numFmtId="0" fontId="3" fillId="0" borderId="0" xfId="0" applyFont="1"/>
    <xf numFmtId="0" fontId="3" fillId="0" borderId="0" xfId="0" applyFont="1" applyAlignment="1"/>
    <xf numFmtId="0" fontId="16" fillId="0" borderId="0" xfId="0" applyFont="1" applyFill="1" applyAlignment="1"/>
    <xf numFmtId="0" fontId="15" fillId="0" borderId="0" xfId="0" applyFont="1" applyAlignment="1"/>
    <xf numFmtId="0" fontId="17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1" fontId="1" fillId="0" borderId="0" xfId="0" applyNumberFormat="1" applyFont="1"/>
    <xf numFmtId="0" fontId="15" fillId="0" borderId="8" xfId="0" applyFont="1" applyFill="1" applyBorder="1" applyAlignment="1"/>
    <xf numFmtId="2" fontId="7" fillId="0" borderId="0" xfId="0" applyNumberFormat="1" applyFont="1"/>
    <xf numFmtId="0" fontId="0" fillId="0" borderId="0" xfId="0" applyFont="1" applyAlignment="1"/>
    <xf numFmtId="0" fontId="4" fillId="0" borderId="0" xfId="0" applyFont="1" applyAlignment="1">
      <alignment horizontal="center"/>
    </xf>
    <xf numFmtId="0" fontId="0" fillId="0" borderId="0" xfId="0" applyFont="1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ircraft.airbus.com/en/aircraft/a320/a321neo" TargetMode="External"/><Relationship Id="rId2" Type="http://schemas.openxmlformats.org/officeDocument/2006/relationships/hyperlink" Target="https://www.airline-experience.com/guadeloupe/en/boeing-737-800/" TargetMode="External"/><Relationship Id="rId1" Type="http://schemas.openxmlformats.org/officeDocument/2006/relationships/hyperlink" Target="https://aircraft.airbus.com/en/aircraft/a320/a321neo" TargetMode="External"/><Relationship Id="rId4" Type="http://schemas.openxmlformats.org/officeDocument/2006/relationships/hyperlink" Target="https://aircraft.airbus.com/en/aircraft/a320/a320n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00"/>
  <sheetViews>
    <sheetView tabSelected="1" workbookViewId="0">
      <selection activeCell="D19" sqref="D19"/>
    </sheetView>
  </sheetViews>
  <sheetFormatPr defaultColWidth="12.59765625" defaultRowHeight="15" customHeight="1" x14ac:dyDescent="0.25"/>
  <cols>
    <col min="1" max="5" width="7.59765625" customWidth="1"/>
    <col min="6" max="6" width="8" customWidth="1"/>
    <col min="7" max="11" width="8.3984375" customWidth="1"/>
    <col min="12" max="13" width="9.19921875" customWidth="1"/>
    <col min="14" max="14" width="8.3984375" customWidth="1"/>
    <col min="15" max="15" width="9.19921875" customWidth="1"/>
    <col min="16" max="26" width="7.59765625" customWidth="1"/>
  </cols>
  <sheetData>
    <row r="1" spans="1:19" ht="14.25" customHeight="1" x14ac:dyDescent="0.3">
      <c r="A1" s="47"/>
      <c r="B1" s="68" t="s">
        <v>67</v>
      </c>
      <c r="C1" s="47"/>
      <c r="D1" s="6" t="s">
        <v>8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9</v>
      </c>
      <c r="M1" s="76" t="s">
        <v>10</v>
      </c>
    </row>
    <row r="2" spans="1:19" ht="14.25" customHeight="1" x14ac:dyDescent="0.3">
      <c r="A2" s="47"/>
      <c r="B2" s="47"/>
      <c r="C2" s="47"/>
      <c r="D2" s="25" t="s">
        <v>18</v>
      </c>
      <c r="E2" s="25" t="s">
        <v>11</v>
      </c>
      <c r="F2" s="25" t="s">
        <v>12</v>
      </c>
      <c r="G2" s="25" t="s">
        <v>13</v>
      </c>
      <c r="H2" s="25" t="s">
        <v>14</v>
      </c>
      <c r="I2" s="25" t="s">
        <v>15</v>
      </c>
      <c r="J2" s="25" t="s">
        <v>16</v>
      </c>
      <c r="K2" s="25" t="s">
        <v>17</v>
      </c>
      <c r="L2" s="25" t="s">
        <v>19</v>
      </c>
      <c r="M2" s="77"/>
    </row>
    <row r="3" spans="1:19" ht="14.25" customHeight="1" x14ac:dyDescent="0.3">
      <c r="A3" s="26" t="s">
        <v>43</v>
      </c>
      <c r="B3" s="9" t="s">
        <v>8</v>
      </c>
      <c r="C3" s="25" t="s">
        <v>18</v>
      </c>
      <c r="D3" s="27">
        <v>3</v>
      </c>
      <c r="E3" s="28">
        <v>4</v>
      </c>
      <c r="F3" s="71">
        <v>1</v>
      </c>
      <c r="G3" s="71">
        <v>3</v>
      </c>
      <c r="H3" s="71">
        <v>5</v>
      </c>
      <c r="I3" s="71">
        <v>0</v>
      </c>
      <c r="J3" s="71">
        <v>5</v>
      </c>
      <c r="K3" s="71">
        <v>6</v>
      </c>
      <c r="L3" s="71">
        <v>7</v>
      </c>
      <c r="M3" s="17">
        <f>SUM(D3:L3)</f>
        <v>34</v>
      </c>
    </row>
    <row r="4" spans="1:19" ht="14.25" customHeight="1" x14ac:dyDescent="0.3">
      <c r="D4" s="71">
        <v>9308</v>
      </c>
      <c r="E4" s="71">
        <v>32</v>
      </c>
      <c r="F4" s="71">
        <v>246</v>
      </c>
      <c r="G4" s="71">
        <v>982</v>
      </c>
      <c r="H4" s="71">
        <v>925</v>
      </c>
      <c r="I4" s="71">
        <v>560</v>
      </c>
      <c r="J4" s="71">
        <v>284</v>
      </c>
      <c r="K4" s="71">
        <v>3731</v>
      </c>
      <c r="L4" s="71">
        <v>381</v>
      </c>
      <c r="O4" s="50"/>
      <c r="P4" s="50"/>
      <c r="Q4" s="50"/>
    </row>
    <row r="5" spans="1:19" ht="14.25" customHeight="1" x14ac:dyDescent="0.3">
      <c r="D5" s="71">
        <f>D4/80</f>
        <v>116.35</v>
      </c>
      <c r="E5" s="71">
        <f>E4/80</f>
        <v>0.4</v>
      </c>
      <c r="F5" s="71">
        <f t="shared" ref="F5:L5" si="0">F4/80</f>
        <v>3.0750000000000002</v>
      </c>
      <c r="G5" s="71">
        <f t="shared" si="0"/>
        <v>12.275</v>
      </c>
      <c r="H5" s="71">
        <f t="shared" si="0"/>
        <v>11.5625</v>
      </c>
      <c r="I5" s="71">
        <f t="shared" si="0"/>
        <v>7</v>
      </c>
      <c r="J5" s="71">
        <f t="shared" si="0"/>
        <v>3.55</v>
      </c>
      <c r="K5" s="71">
        <f t="shared" si="0"/>
        <v>46.637500000000003</v>
      </c>
      <c r="L5" s="71">
        <f t="shared" si="0"/>
        <v>4.7625000000000002</v>
      </c>
      <c r="M5" s="72"/>
      <c r="N5" s="17"/>
      <c r="O5" s="50"/>
      <c r="P5" s="50"/>
      <c r="Q5" s="50"/>
    </row>
    <row r="6" spans="1:19" ht="14.25" customHeight="1" x14ac:dyDescent="0.3">
      <c r="D6" s="71">
        <f>ROUNDDOWN(D5,0)</f>
        <v>116</v>
      </c>
      <c r="E6" s="72">
        <f>ROUNDDOWN(E5,0)</f>
        <v>0</v>
      </c>
      <c r="F6" s="72">
        <f>ROUNDDOWN(F5,0)</f>
        <v>3</v>
      </c>
      <c r="G6" s="72">
        <f t="shared" ref="G6:L6" si="1">ROUNDDOWN(G5,0)</f>
        <v>12</v>
      </c>
      <c r="H6" s="72">
        <f t="shared" si="1"/>
        <v>11</v>
      </c>
      <c r="I6" s="72">
        <f t="shared" si="1"/>
        <v>7</v>
      </c>
      <c r="J6" s="72">
        <f t="shared" si="1"/>
        <v>3</v>
      </c>
      <c r="K6" s="72">
        <f t="shared" si="1"/>
        <v>46</v>
      </c>
      <c r="L6" s="72">
        <f t="shared" si="1"/>
        <v>4</v>
      </c>
      <c r="M6" s="72"/>
      <c r="N6" s="74">
        <f>SUM(E6:L6) * 2</f>
        <v>172</v>
      </c>
      <c r="O6" s="73" t="s">
        <v>70</v>
      </c>
      <c r="P6" s="50"/>
      <c r="Q6" s="50"/>
    </row>
    <row r="7" spans="1:19" ht="14.25" customHeight="1" x14ac:dyDescent="0.3">
      <c r="A7" s="47"/>
      <c r="B7" s="47"/>
      <c r="C7" s="47"/>
      <c r="D7" s="1">
        <f>D4-80*D6</f>
        <v>28</v>
      </c>
      <c r="E7" s="20">
        <f>E4-80*E6</f>
        <v>32</v>
      </c>
      <c r="F7" s="20">
        <f>F4-80*F6</f>
        <v>6</v>
      </c>
      <c r="G7" s="20">
        <f t="shared" ref="G7:L7" si="2">G4-80*G6</f>
        <v>22</v>
      </c>
      <c r="H7" s="20">
        <f t="shared" si="2"/>
        <v>45</v>
      </c>
      <c r="I7" s="20">
        <f t="shared" si="2"/>
        <v>0</v>
      </c>
      <c r="J7" s="20">
        <f t="shared" si="2"/>
        <v>44</v>
      </c>
      <c r="K7" s="20">
        <f t="shared" si="2"/>
        <v>51</v>
      </c>
      <c r="L7" s="20">
        <f t="shared" si="2"/>
        <v>61</v>
      </c>
      <c r="M7" s="20"/>
      <c r="N7" s="74">
        <f>N6/4</f>
        <v>43</v>
      </c>
      <c r="O7" s="52" t="s">
        <v>71</v>
      </c>
      <c r="P7" s="50"/>
      <c r="Q7" s="50"/>
    </row>
    <row r="8" spans="1:19" ht="14.25" customHeight="1" x14ac:dyDescent="0.3">
      <c r="A8" s="47"/>
      <c r="B8" s="68"/>
      <c r="C8" s="47"/>
      <c r="D8" s="25" t="s">
        <v>18</v>
      </c>
      <c r="G8" s="20"/>
      <c r="H8" s="20"/>
      <c r="I8" s="20"/>
      <c r="J8" s="20"/>
      <c r="K8" s="20"/>
      <c r="L8" s="20"/>
      <c r="M8" s="20"/>
      <c r="N8" s="74">
        <f>N7/6</f>
        <v>7.166666666666667</v>
      </c>
      <c r="O8" s="53" t="s">
        <v>72</v>
      </c>
      <c r="P8" s="50"/>
      <c r="Q8" s="50"/>
      <c r="S8" s="18"/>
    </row>
    <row r="9" spans="1:19" ht="14.25" customHeight="1" x14ac:dyDescent="0.3">
      <c r="A9" s="47"/>
      <c r="B9" s="68" t="s">
        <v>68</v>
      </c>
      <c r="C9" s="47"/>
      <c r="D9" s="6" t="s">
        <v>8</v>
      </c>
      <c r="F9" s="20"/>
      <c r="G9" s="20"/>
      <c r="H9" s="20"/>
      <c r="I9" s="20"/>
      <c r="J9" s="20"/>
      <c r="K9" s="20"/>
      <c r="L9" s="20"/>
      <c r="M9" s="20"/>
      <c r="N9" s="74">
        <f>97*N8/60</f>
        <v>11.586111111111112</v>
      </c>
      <c r="O9" s="53" t="s">
        <v>73</v>
      </c>
      <c r="P9" s="50"/>
      <c r="Q9" s="50"/>
      <c r="S9" s="18"/>
    </row>
    <row r="10" spans="1:19" ht="14.25" customHeight="1" x14ac:dyDescent="0.3">
      <c r="A10" s="48" t="s">
        <v>43</v>
      </c>
      <c r="B10" s="9" t="s">
        <v>8</v>
      </c>
      <c r="C10" s="25" t="s">
        <v>18</v>
      </c>
      <c r="D10" s="29">
        <v>931</v>
      </c>
      <c r="F10" s="20"/>
      <c r="G10" s="20"/>
      <c r="H10" s="20"/>
      <c r="I10" s="20"/>
      <c r="J10" s="20"/>
      <c r="K10" s="20"/>
      <c r="L10" s="20"/>
      <c r="M10" s="20"/>
      <c r="N10" s="17"/>
      <c r="O10" s="53"/>
      <c r="P10" s="50"/>
      <c r="Q10" s="50"/>
      <c r="S10" s="18"/>
    </row>
    <row r="11" spans="1:19" ht="14.25" customHeight="1" x14ac:dyDescent="0.3">
      <c r="A11" s="47"/>
      <c r="B11" s="9" t="s">
        <v>1</v>
      </c>
      <c r="C11" s="25" t="s">
        <v>11</v>
      </c>
      <c r="D11" s="30">
        <v>2</v>
      </c>
      <c r="F11" s="20"/>
      <c r="G11" s="20"/>
      <c r="H11" s="20"/>
      <c r="I11" s="20"/>
      <c r="J11" s="20"/>
      <c r="K11" s="20"/>
      <c r="L11" s="20"/>
      <c r="M11" s="20"/>
      <c r="N11" s="17"/>
      <c r="O11" s="53"/>
      <c r="P11" s="50"/>
      <c r="Q11" s="50"/>
      <c r="S11" s="18"/>
    </row>
    <row r="12" spans="1:19" ht="14.25" customHeight="1" x14ac:dyDescent="0.3">
      <c r="A12" s="47"/>
      <c r="B12" s="9" t="s">
        <v>2</v>
      </c>
      <c r="C12" s="25" t="s">
        <v>12</v>
      </c>
      <c r="D12" s="30">
        <v>2</v>
      </c>
      <c r="F12" s="20"/>
      <c r="G12" s="20"/>
      <c r="H12" s="20"/>
      <c r="I12" s="20"/>
      <c r="J12" s="20"/>
      <c r="K12" s="20"/>
      <c r="L12" s="20"/>
      <c r="M12" s="20"/>
      <c r="N12" s="17"/>
      <c r="O12" s="53"/>
      <c r="P12" s="50"/>
      <c r="Q12" s="50"/>
      <c r="S12" s="18"/>
    </row>
    <row r="13" spans="1:19" ht="14.25" customHeight="1" x14ac:dyDescent="0.3">
      <c r="A13" s="47"/>
      <c r="B13" s="9" t="s">
        <v>3</v>
      </c>
      <c r="C13" s="25" t="s">
        <v>13</v>
      </c>
      <c r="D13" s="30">
        <v>2</v>
      </c>
      <c r="F13" s="17"/>
      <c r="G13" s="17"/>
      <c r="H13" s="17"/>
      <c r="I13" s="17"/>
      <c r="J13" s="17"/>
      <c r="K13" s="17"/>
      <c r="L13" s="17"/>
      <c r="M13" s="17"/>
      <c r="N13" s="20"/>
      <c r="O13" s="53"/>
      <c r="P13" s="50"/>
      <c r="Q13" s="50"/>
      <c r="S13" s="18"/>
    </row>
    <row r="14" spans="1:19" ht="14.25" customHeight="1" x14ac:dyDescent="0.3">
      <c r="A14" s="47"/>
      <c r="B14" s="9" t="s">
        <v>4</v>
      </c>
      <c r="C14" s="25" t="s">
        <v>14</v>
      </c>
      <c r="D14" s="30">
        <v>2</v>
      </c>
      <c r="O14" s="53"/>
      <c r="P14" s="50"/>
      <c r="Q14" s="50"/>
      <c r="S14" s="18"/>
    </row>
    <row r="15" spans="1:19" ht="14.25" customHeight="1" x14ac:dyDescent="0.3">
      <c r="A15" s="47"/>
      <c r="B15" s="9" t="s">
        <v>5</v>
      </c>
      <c r="C15" s="25" t="s">
        <v>15</v>
      </c>
      <c r="D15" s="30">
        <v>2</v>
      </c>
      <c r="O15" s="53"/>
      <c r="P15" s="51"/>
      <c r="Q15" s="50"/>
      <c r="S15" s="18"/>
    </row>
    <row r="16" spans="1:19" ht="14.25" customHeight="1" x14ac:dyDescent="0.3">
      <c r="A16" s="47"/>
      <c r="B16" s="9" t="s">
        <v>6</v>
      </c>
      <c r="C16" s="25" t="s">
        <v>16</v>
      </c>
      <c r="D16" s="30">
        <v>2</v>
      </c>
      <c r="O16" s="53"/>
      <c r="P16" s="50"/>
      <c r="Q16" s="50"/>
      <c r="S16" s="18"/>
    </row>
    <row r="17" spans="1:17" ht="14.25" customHeight="1" x14ac:dyDescent="0.3">
      <c r="A17" s="47"/>
      <c r="B17" s="9" t="s">
        <v>7</v>
      </c>
      <c r="C17" s="25" t="s">
        <v>17</v>
      </c>
      <c r="D17" s="30">
        <v>2</v>
      </c>
      <c r="O17" s="49"/>
      <c r="P17" s="50"/>
      <c r="Q17" s="50"/>
    </row>
    <row r="18" spans="1:17" ht="14.25" customHeight="1" x14ac:dyDescent="0.3">
      <c r="A18" s="47"/>
      <c r="B18" s="9" t="s">
        <v>9</v>
      </c>
      <c r="C18" s="25" t="s">
        <v>19</v>
      </c>
      <c r="D18" s="30">
        <v>2</v>
      </c>
      <c r="O18" s="50"/>
      <c r="P18" s="50"/>
      <c r="Q18" s="50"/>
    </row>
    <row r="19" spans="1:17" ht="14.25" customHeight="1" x14ac:dyDescent="0.3">
      <c r="A19" s="9"/>
      <c r="B19" s="76" t="s">
        <v>10</v>
      </c>
      <c r="C19" s="77"/>
      <c r="D19" s="17">
        <f>SUM(D10:D18)</f>
        <v>947</v>
      </c>
      <c r="O19" s="50"/>
      <c r="P19" s="54"/>
      <c r="Q19" s="50"/>
    </row>
    <row r="20" spans="1:17" ht="14.25" customHeight="1" x14ac:dyDescent="0.3">
      <c r="O20" s="55"/>
      <c r="P20" s="50"/>
      <c r="Q20" s="50"/>
    </row>
    <row r="21" spans="1:17" ht="14.25" customHeight="1" x14ac:dyDescent="0.3">
      <c r="D21" s="50"/>
      <c r="E21" s="50"/>
      <c r="F21" s="56"/>
      <c r="G21" s="56"/>
      <c r="H21" s="56"/>
      <c r="I21" s="56"/>
      <c r="J21" s="56"/>
      <c r="K21" s="56"/>
      <c r="L21" s="56"/>
      <c r="M21" s="56"/>
      <c r="N21" s="56"/>
      <c r="O21" s="50"/>
      <c r="P21" s="50"/>
      <c r="Q21" s="50"/>
    </row>
    <row r="22" spans="1:17" ht="14.25" customHeight="1" x14ac:dyDescent="0.25"/>
    <row r="23" spans="1:17" ht="14.25" customHeight="1" x14ac:dyDescent="0.25"/>
    <row r="24" spans="1:17" ht="14.25" customHeight="1" x14ac:dyDescent="0.25"/>
    <row r="25" spans="1:17" ht="14.25" customHeight="1" x14ac:dyDescent="0.3">
      <c r="B25" s="11"/>
      <c r="C25" s="11"/>
    </row>
    <row r="26" spans="1:17" ht="14.25" customHeight="1" x14ac:dyDescent="0.3">
      <c r="B26" s="12"/>
      <c r="C26" s="4"/>
    </row>
    <row r="27" spans="1:17" ht="14.25" customHeight="1" x14ac:dyDescent="0.3">
      <c r="B27" s="12"/>
      <c r="C27" s="4"/>
    </row>
    <row r="28" spans="1:17" ht="14.25" customHeight="1" x14ac:dyDescent="0.3">
      <c r="B28" s="12"/>
      <c r="C28" s="4"/>
      <c r="H28" s="9"/>
      <c r="I28" s="9"/>
      <c r="J28" s="9"/>
      <c r="K28" s="9"/>
      <c r="L28" s="9"/>
      <c r="M28" s="9"/>
      <c r="N28" s="9"/>
      <c r="O28" s="9"/>
      <c r="P28" s="9"/>
    </row>
    <row r="29" spans="1:17" ht="14.25" customHeight="1" x14ac:dyDescent="0.3">
      <c r="B29" s="12"/>
      <c r="C29" s="4"/>
    </row>
    <row r="30" spans="1:17" ht="14.25" customHeight="1" x14ac:dyDescent="0.3">
      <c r="B30" s="12"/>
      <c r="C30" s="4"/>
      <c r="H30" s="24"/>
      <c r="I30" s="24"/>
      <c r="J30" s="24"/>
      <c r="K30" s="24"/>
      <c r="L30" s="24"/>
      <c r="M30" s="24"/>
      <c r="N30" s="24"/>
      <c r="O30" s="24"/>
      <c r="P30" s="24"/>
    </row>
    <row r="31" spans="1:17" ht="14.25" customHeight="1" x14ac:dyDescent="0.3">
      <c r="B31" s="12"/>
      <c r="C31" s="4"/>
    </row>
    <row r="32" spans="1:17" ht="14.25" customHeight="1" x14ac:dyDescent="0.3">
      <c r="B32" s="12"/>
      <c r="C32" s="4"/>
    </row>
    <row r="33" spans="2:3" ht="14.25" customHeight="1" x14ac:dyDescent="0.3">
      <c r="B33" s="12"/>
      <c r="C33" s="4"/>
    </row>
    <row r="34" spans="2:3" ht="14.25" customHeight="1" x14ac:dyDescent="0.3">
      <c r="B34" s="12"/>
      <c r="C34" s="4"/>
    </row>
    <row r="35" spans="2:3" ht="14.25" customHeight="1" x14ac:dyDescent="0.25"/>
    <row r="36" spans="2:3" ht="14.25" customHeight="1" x14ac:dyDescent="0.25"/>
    <row r="37" spans="2:3" ht="14.25" customHeight="1" x14ac:dyDescent="0.25"/>
    <row r="38" spans="2:3" ht="14.25" customHeight="1" x14ac:dyDescent="0.25"/>
    <row r="39" spans="2:3" ht="14.25" customHeight="1" x14ac:dyDescent="0.25"/>
    <row r="40" spans="2:3" ht="14.25" customHeight="1" x14ac:dyDescent="0.25"/>
    <row r="41" spans="2:3" ht="14.25" customHeight="1" x14ac:dyDescent="0.25"/>
    <row r="42" spans="2:3" ht="14.25" customHeight="1" x14ac:dyDescent="0.25"/>
    <row r="43" spans="2:3" ht="14.25" customHeight="1" x14ac:dyDescent="0.25"/>
    <row r="44" spans="2:3" ht="14.25" customHeight="1" x14ac:dyDescent="0.25"/>
    <row r="45" spans="2:3" ht="14.25" customHeight="1" x14ac:dyDescent="0.25"/>
    <row r="46" spans="2:3" ht="14.25" customHeight="1" x14ac:dyDescent="0.25"/>
    <row r="47" spans="2:3" ht="14.25" customHeight="1" x14ac:dyDescent="0.25"/>
    <row r="48" spans="2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">
    <mergeCell ref="M1:M2"/>
    <mergeCell ref="B19:C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H18" sqref="H18"/>
    </sheetView>
  </sheetViews>
  <sheetFormatPr defaultColWidth="12.59765625" defaultRowHeight="15" customHeight="1" x14ac:dyDescent="0.25"/>
  <cols>
    <col min="1" max="4" width="7.59765625" customWidth="1"/>
    <col min="5" max="5" width="9.69921875" customWidth="1"/>
    <col min="6" max="14" width="10.19921875" customWidth="1"/>
    <col min="15" max="26" width="7.59765625" customWidth="1"/>
  </cols>
  <sheetData>
    <row r="1" spans="1:10" ht="14.25" customHeight="1" x14ac:dyDescent="0.25">
      <c r="A1" s="67" t="s">
        <v>66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ht="14.25" customHeight="1" x14ac:dyDescent="0.3">
      <c r="A2" s="9" t="s">
        <v>1</v>
      </c>
      <c r="B2" s="31">
        <v>0</v>
      </c>
      <c r="C2" s="15">
        <v>24</v>
      </c>
      <c r="D2" s="15">
        <v>243</v>
      </c>
      <c r="E2" s="15">
        <v>262</v>
      </c>
      <c r="F2" s="15">
        <v>277</v>
      </c>
      <c r="G2" s="15">
        <v>273</v>
      </c>
      <c r="H2" s="15">
        <v>362</v>
      </c>
      <c r="I2" s="15">
        <v>515</v>
      </c>
      <c r="J2" s="16">
        <v>599</v>
      </c>
    </row>
    <row r="3" spans="1:10" ht="14.25" customHeight="1" x14ac:dyDescent="0.3">
      <c r="A3" s="9" t="s">
        <v>2</v>
      </c>
      <c r="B3" s="19">
        <v>24</v>
      </c>
      <c r="C3" s="32">
        <v>0</v>
      </c>
      <c r="D3" s="20">
        <v>233</v>
      </c>
      <c r="E3" s="20">
        <v>253</v>
      </c>
      <c r="F3" s="20">
        <v>271</v>
      </c>
      <c r="G3" s="20">
        <v>270</v>
      </c>
      <c r="H3" s="20">
        <v>356</v>
      </c>
      <c r="I3" s="20">
        <v>508</v>
      </c>
      <c r="J3" s="21">
        <v>589</v>
      </c>
    </row>
    <row r="4" spans="1:10" ht="14.25" customHeight="1" x14ac:dyDescent="0.3">
      <c r="A4" s="9" t="s">
        <v>3</v>
      </c>
      <c r="B4" s="19">
        <v>243</v>
      </c>
      <c r="C4" s="20">
        <v>233</v>
      </c>
      <c r="D4" s="32">
        <v>0</v>
      </c>
      <c r="E4" s="20">
        <v>24</v>
      </c>
      <c r="F4" s="13">
        <v>50</v>
      </c>
      <c r="G4" s="13">
        <v>87</v>
      </c>
      <c r="H4" s="13">
        <v>144</v>
      </c>
      <c r="I4" s="13">
        <v>277</v>
      </c>
      <c r="J4" s="14">
        <v>356</v>
      </c>
    </row>
    <row r="5" spans="1:10" ht="14.25" customHeight="1" x14ac:dyDescent="0.3">
      <c r="A5" s="9" t="s">
        <v>4</v>
      </c>
      <c r="B5" s="19">
        <v>262</v>
      </c>
      <c r="C5" s="20">
        <v>253</v>
      </c>
      <c r="D5" s="20">
        <v>24</v>
      </c>
      <c r="E5" s="32">
        <v>0</v>
      </c>
      <c r="F5" s="20">
        <v>27</v>
      </c>
      <c r="G5" s="20">
        <v>70</v>
      </c>
      <c r="H5" s="20">
        <v>120</v>
      </c>
      <c r="I5" s="20">
        <v>256</v>
      </c>
      <c r="J5" s="21">
        <v>337</v>
      </c>
    </row>
    <row r="6" spans="1:10" ht="14.25" customHeight="1" x14ac:dyDescent="0.3">
      <c r="A6" s="9" t="s">
        <v>5</v>
      </c>
      <c r="B6" s="19">
        <v>277</v>
      </c>
      <c r="C6" s="20">
        <v>271</v>
      </c>
      <c r="D6" s="13">
        <v>50</v>
      </c>
      <c r="E6" s="20">
        <v>27</v>
      </c>
      <c r="F6" s="32">
        <v>0</v>
      </c>
      <c r="G6" s="20">
        <v>49</v>
      </c>
      <c r="H6" s="20">
        <v>95</v>
      </c>
      <c r="I6" s="20">
        <v>238</v>
      </c>
      <c r="J6" s="21">
        <v>324</v>
      </c>
    </row>
    <row r="7" spans="1:10" ht="14.25" customHeight="1" x14ac:dyDescent="0.3">
      <c r="A7" s="9" t="s">
        <v>6</v>
      </c>
      <c r="B7" s="19">
        <v>273</v>
      </c>
      <c r="C7" s="20">
        <v>270</v>
      </c>
      <c r="D7" s="13">
        <v>87</v>
      </c>
      <c r="E7" s="20">
        <v>70</v>
      </c>
      <c r="F7" s="20">
        <v>49</v>
      </c>
      <c r="G7" s="32">
        <v>0</v>
      </c>
      <c r="H7" s="20">
        <v>90</v>
      </c>
      <c r="I7" s="20">
        <v>252</v>
      </c>
      <c r="J7" s="21">
        <v>344</v>
      </c>
    </row>
    <row r="8" spans="1:10" ht="14.25" customHeight="1" x14ac:dyDescent="0.3">
      <c r="A8" s="9" t="s">
        <v>7</v>
      </c>
      <c r="B8" s="19">
        <v>362</v>
      </c>
      <c r="C8" s="20">
        <v>356</v>
      </c>
      <c r="D8" s="13">
        <v>144</v>
      </c>
      <c r="E8" s="20">
        <v>120</v>
      </c>
      <c r="F8" s="20">
        <v>95</v>
      </c>
      <c r="G8" s="20">
        <v>90</v>
      </c>
      <c r="H8" s="32">
        <v>0</v>
      </c>
      <c r="I8" s="20">
        <v>164</v>
      </c>
      <c r="J8" s="21">
        <v>260</v>
      </c>
    </row>
    <row r="9" spans="1:10" ht="14.25" customHeight="1" x14ac:dyDescent="0.3">
      <c r="A9" s="9" t="s">
        <v>8</v>
      </c>
      <c r="B9" s="19">
        <v>515</v>
      </c>
      <c r="C9" s="20">
        <v>508</v>
      </c>
      <c r="D9" s="13">
        <v>277</v>
      </c>
      <c r="E9" s="20">
        <v>256</v>
      </c>
      <c r="F9" s="20">
        <v>238</v>
      </c>
      <c r="G9" s="20">
        <v>252</v>
      </c>
      <c r="H9" s="20">
        <v>164</v>
      </c>
      <c r="I9" s="32">
        <v>0</v>
      </c>
      <c r="J9" s="21">
        <v>98</v>
      </c>
    </row>
    <row r="10" spans="1:10" ht="14.25" customHeight="1" x14ac:dyDescent="0.3">
      <c r="A10" s="9" t="s">
        <v>9</v>
      </c>
      <c r="B10" s="22">
        <v>599</v>
      </c>
      <c r="C10" s="23">
        <v>589</v>
      </c>
      <c r="D10" s="33">
        <v>356</v>
      </c>
      <c r="E10" s="23">
        <v>337</v>
      </c>
      <c r="F10" s="23">
        <v>324</v>
      </c>
      <c r="G10" s="23">
        <v>344</v>
      </c>
      <c r="H10" s="23">
        <v>260</v>
      </c>
      <c r="I10" s="23">
        <v>98</v>
      </c>
      <c r="J10" s="34">
        <v>0</v>
      </c>
    </row>
    <row r="11" spans="1:10" ht="14.25" customHeight="1" x14ac:dyDescent="0.25"/>
    <row r="12" spans="1:10" ht="14.25" customHeight="1" x14ac:dyDescent="0.25"/>
    <row r="13" spans="1:10" ht="14.25" customHeight="1" x14ac:dyDescent="0.3">
      <c r="A13" s="11" t="s">
        <v>44</v>
      </c>
    </row>
    <row r="14" spans="1:10" ht="14.25" customHeight="1" x14ac:dyDescent="0.25"/>
    <row r="15" spans="1:10" ht="14.25" customHeight="1" x14ac:dyDescent="0.25"/>
    <row r="16" spans="1:10" ht="14.25" customHeight="1" x14ac:dyDescent="0.25"/>
    <row r="17" spans="9:14" ht="14.25" customHeight="1" x14ac:dyDescent="0.3">
      <c r="I17" s="20"/>
      <c r="J17" s="13"/>
      <c r="K17" s="20"/>
      <c r="L17" s="20"/>
      <c r="M17" s="20"/>
      <c r="N17" s="20"/>
    </row>
    <row r="18" spans="9:14" ht="14.25" customHeight="1" x14ac:dyDescent="0.3">
      <c r="I18" s="20"/>
      <c r="J18" s="13"/>
      <c r="K18" s="20"/>
      <c r="L18" s="20"/>
      <c r="M18" s="20"/>
      <c r="N18" s="20"/>
    </row>
    <row r="19" spans="9:14" ht="14.25" customHeight="1" x14ac:dyDescent="0.3">
      <c r="I19" s="13"/>
      <c r="J19" s="13"/>
      <c r="K19" s="20"/>
      <c r="L19" s="20"/>
      <c r="M19" s="20"/>
      <c r="N19" s="20"/>
    </row>
    <row r="20" spans="9:14" ht="14.25" customHeight="1" x14ac:dyDescent="0.3">
      <c r="I20" s="13"/>
      <c r="J20" s="13"/>
      <c r="K20" s="20"/>
      <c r="L20" s="20"/>
      <c r="M20" s="20"/>
      <c r="N20" s="20"/>
    </row>
    <row r="21" spans="9:14" ht="14.25" customHeight="1" x14ac:dyDescent="0.3">
      <c r="I21" s="13"/>
      <c r="J21" s="13"/>
      <c r="K21" s="13"/>
      <c r="L21" s="13"/>
      <c r="M21" s="20"/>
      <c r="N21" s="20"/>
    </row>
    <row r="22" spans="9:14" ht="14.25" customHeight="1" x14ac:dyDescent="0.3">
      <c r="I22" s="13"/>
      <c r="J22" s="13"/>
      <c r="K22" s="13"/>
      <c r="L22" s="13"/>
      <c r="M22" s="20"/>
      <c r="N22" s="20"/>
    </row>
    <row r="23" spans="9:14" ht="14.25" customHeight="1" x14ac:dyDescent="0.3">
      <c r="I23" s="13"/>
      <c r="J23" s="13"/>
      <c r="K23" s="13"/>
      <c r="L23" s="13"/>
      <c r="M23" s="13"/>
      <c r="N23" s="13"/>
    </row>
    <row r="24" spans="9:14" ht="14.25" customHeight="1" x14ac:dyDescent="0.25"/>
    <row r="25" spans="9:14" ht="14.25" customHeight="1" x14ac:dyDescent="0.25"/>
    <row r="26" spans="9:14" ht="14.25" customHeight="1" x14ac:dyDescent="0.25"/>
    <row r="27" spans="9:14" ht="14.25" customHeight="1" x14ac:dyDescent="0.25"/>
    <row r="28" spans="9:14" ht="14.25" customHeight="1" x14ac:dyDescent="0.25"/>
    <row r="29" spans="9:14" ht="14.25" customHeight="1" x14ac:dyDescent="0.25"/>
    <row r="30" spans="9:14" ht="14.25" customHeight="1" x14ac:dyDescent="0.25"/>
    <row r="31" spans="9:14" ht="14.25" customHeight="1" x14ac:dyDescent="0.25"/>
    <row r="32" spans="9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2"/>
  <sheetViews>
    <sheetView workbookViewId="0">
      <selection activeCell="E19" sqref="E19"/>
    </sheetView>
  </sheetViews>
  <sheetFormatPr defaultColWidth="12.59765625" defaultRowHeight="15" customHeight="1" x14ac:dyDescent="0.25"/>
  <cols>
    <col min="1" max="1" width="20.69921875" customWidth="1"/>
    <col min="5" max="5" width="24.19921875" customWidth="1"/>
    <col min="6" max="6" width="16" customWidth="1"/>
    <col min="8" max="8" width="12.59765625" style="47"/>
  </cols>
  <sheetData>
    <row r="1" spans="1:9" ht="43.2" x14ac:dyDescent="0.3">
      <c r="A1" s="5" t="s">
        <v>23</v>
      </c>
      <c r="B1" s="35" t="s">
        <v>24</v>
      </c>
      <c r="C1" s="6" t="s">
        <v>45</v>
      </c>
      <c r="D1" s="1" t="s">
        <v>46</v>
      </c>
      <c r="E1" s="1" t="s">
        <v>47</v>
      </c>
      <c r="F1" s="1" t="s">
        <v>48</v>
      </c>
      <c r="G1" s="36" t="s">
        <v>49</v>
      </c>
      <c r="H1" s="36" t="s">
        <v>0</v>
      </c>
      <c r="I1" s="1" t="s">
        <v>32</v>
      </c>
    </row>
    <row r="2" spans="1:9" ht="14.4" x14ac:dyDescent="0.3">
      <c r="A2" s="57" t="s">
        <v>33</v>
      </c>
      <c r="B2" s="58">
        <v>37</v>
      </c>
      <c r="C2" s="63">
        <v>15649</v>
      </c>
      <c r="D2" s="64">
        <f t="shared" ref="D2:D13" si="0">C2/1000</f>
        <v>15.648999999999999</v>
      </c>
      <c r="E2" s="64">
        <f>D2*$B$17</f>
        <v>51.954679999999996</v>
      </c>
      <c r="F2" s="64">
        <f t="shared" ref="F2:F13" si="1">D2*$B$22</f>
        <v>24.72542</v>
      </c>
      <c r="G2" s="64">
        <f>B2*$B$32</f>
        <v>336.99600000000004</v>
      </c>
      <c r="H2" s="64">
        <f>$B$32</f>
        <v>9.1080000000000005</v>
      </c>
    </row>
    <row r="3" spans="1:9" s="70" customFormat="1" ht="14.4" x14ac:dyDescent="0.3">
      <c r="A3" s="57" t="s">
        <v>33</v>
      </c>
      <c r="B3" s="58">
        <v>37</v>
      </c>
      <c r="C3" s="63">
        <v>15649</v>
      </c>
      <c r="D3" s="64">
        <f t="shared" ref="D3" si="2">C3/1000</f>
        <v>15.648999999999999</v>
      </c>
      <c r="E3" s="64">
        <f>D3*$B$17</f>
        <v>51.954679999999996</v>
      </c>
      <c r="F3" s="64">
        <f t="shared" ref="F3" si="3">D3*$B$22</f>
        <v>24.72542</v>
      </c>
      <c r="G3" s="64">
        <f>B3*$B$32</f>
        <v>336.99600000000004</v>
      </c>
      <c r="H3" s="64">
        <f>$B$32</f>
        <v>9.1080000000000005</v>
      </c>
    </row>
    <row r="4" spans="1:9" ht="14.4" x14ac:dyDescent="0.3">
      <c r="A4" s="57" t="s">
        <v>34</v>
      </c>
      <c r="B4" s="58">
        <v>80</v>
      </c>
      <c r="C4" s="65">
        <v>27442</v>
      </c>
      <c r="D4" s="64">
        <f t="shared" si="0"/>
        <v>27.442</v>
      </c>
      <c r="E4" s="64">
        <f>25*$B$17+(D4-25)*$B$18</f>
        <v>92.890100000000004</v>
      </c>
      <c r="F4" s="64">
        <f>D4*$B$22</f>
        <v>43.358360000000005</v>
      </c>
      <c r="G4" s="64">
        <f t="shared" ref="G4:G13" si="4">B4*$B$32</f>
        <v>728.6400000000001</v>
      </c>
      <c r="H4" s="64">
        <f t="shared" ref="H4:H13" si="5">$B$32</f>
        <v>9.1080000000000005</v>
      </c>
    </row>
    <row r="5" spans="1:9" s="70" customFormat="1" ht="14.4" x14ac:dyDescent="0.3">
      <c r="A5" s="57" t="s">
        <v>34</v>
      </c>
      <c r="B5" s="58">
        <v>80</v>
      </c>
      <c r="C5" s="65">
        <v>27442</v>
      </c>
      <c r="D5" s="64">
        <f t="shared" ref="D5:D8" si="6">C5/1000</f>
        <v>27.442</v>
      </c>
      <c r="E5" s="64">
        <f t="shared" ref="E5:E8" si="7">25*$B$17+(D5-25)*$B$18</f>
        <v>92.890100000000004</v>
      </c>
      <c r="F5" s="64">
        <f t="shared" ref="F5:F8" si="8">D5*$B$22</f>
        <v>43.358360000000005</v>
      </c>
      <c r="G5" s="64">
        <f t="shared" ref="G5:G8" si="9">B5*$B$32</f>
        <v>728.6400000000001</v>
      </c>
      <c r="H5" s="64">
        <f t="shared" si="5"/>
        <v>9.1080000000000005</v>
      </c>
    </row>
    <row r="6" spans="1:9" s="70" customFormat="1" ht="14.4" x14ac:dyDescent="0.3">
      <c r="A6" s="57" t="s">
        <v>34</v>
      </c>
      <c r="B6" s="58">
        <v>80</v>
      </c>
      <c r="C6" s="65">
        <v>27442</v>
      </c>
      <c r="D6" s="64">
        <f t="shared" si="6"/>
        <v>27.442</v>
      </c>
      <c r="E6" s="64">
        <f t="shared" si="7"/>
        <v>92.890100000000004</v>
      </c>
      <c r="F6" s="64">
        <f t="shared" si="8"/>
        <v>43.358360000000005</v>
      </c>
      <c r="G6" s="64">
        <f t="shared" si="9"/>
        <v>728.6400000000001</v>
      </c>
      <c r="H6" s="64">
        <f t="shared" si="5"/>
        <v>9.1080000000000005</v>
      </c>
    </row>
    <row r="7" spans="1:9" s="75" customFormat="1" ht="14.4" x14ac:dyDescent="0.3">
      <c r="A7" s="57" t="s">
        <v>34</v>
      </c>
      <c r="B7" s="58">
        <v>80</v>
      </c>
      <c r="C7" s="65">
        <v>27442</v>
      </c>
      <c r="D7" s="64">
        <f t="shared" ref="D7" si="10">C7/1000</f>
        <v>27.442</v>
      </c>
      <c r="E7" s="64">
        <f t="shared" ref="E7" si="11">25*$B$17+(D7-25)*$B$18</f>
        <v>92.890100000000004</v>
      </c>
      <c r="F7" s="64">
        <f t="shared" ref="F7" si="12">D7*$B$22</f>
        <v>43.358360000000005</v>
      </c>
      <c r="G7" s="64">
        <f t="shared" ref="G7" si="13">B7*$B$32</f>
        <v>728.6400000000001</v>
      </c>
      <c r="H7" s="64">
        <f t="shared" si="5"/>
        <v>9.1080000000000005</v>
      </c>
    </row>
    <row r="8" spans="1:9" s="70" customFormat="1" ht="14.4" x14ac:dyDescent="0.3">
      <c r="A8" s="57" t="s">
        <v>34</v>
      </c>
      <c r="B8" s="58">
        <v>80</v>
      </c>
      <c r="C8" s="65">
        <v>27442</v>
      </c>
      <c r="D8" s="64">
        <f t="shared" si="6"/>
        <v>27.442</v>
      </c>
      <c r="E8" s="64">
        <f t="shared" si="7"/>
        <v>92.890100000000004</v>
      </c>
      <c r="F8" s="64">
        <f t="shared" si="8"/>
        <v>43.358360000000005</v>
      </c>
      <c r="G8" s="64">
        <f t="shared" si="9"/>
        <v>728.6400000000001</v>
      </c>
      <c r="H8" s="64">
        <f t="shared" si="5"/>
        <v>9.1080000000000005</v>
      </c>
    </row>
    <row r="9" spans="1:9" ht="14.4" x14ac:dyDescent="0.3">
      <c r="A9" s="57" t="s">
        <v>35</v>
      </c>
      <c r="B9" s="58">
        <v>165</v>
      </c>
      <c r="C9" s="66">
        <v>64500</v>
      </c>
      <c r="D9" s="64">
        <f t="shared" si="0"/>
        <v>64.5</v>
      </c>
      <c r="E9" s="64">
        <f>B17*25 + (D9-25)*B18</f>
        <v>242.97499999999999</v>
      </c>
      <c r="F9" s="64">
        <f t="shared" si="1"/>
        <v>101.91000000000001</v>
      </c>
      <c r="G9" s="64">
        <f t="shared" si="4"/>
        <v>1502.8200000000002</v>
      </c>
      <c r="H9" s="64">
        <f t="shared" si="5"/>
        <v>9.1080000000000005</v>
      </c>
    </row>
    <row r="10" spans="1:9" ht="14.4" x14ac:dyDescent="0.3">
      <c r="A10" s="57" t="s">
        <v>36</v>
      </c>
      <c r="B10" s="58">
        <v>180</v>
      </c>
      <c r="C10" s="66">
        <v>67400</v>
      </c>
      <c r="D10" s="64">
        <f t="shared" si="0"/>
        <v>67.400000000000006</v>
      </c>
      <c r="E10" s="64">
        <f>B17*25 + (D10-25)*B18</f>
        <v>254.72000000000003</v>
      </c>
      <c r="F10" s="64">
        <f t="shared" si="1"/>
        <v>106.49200000000002</v>
      </c>
      <c r="G10" s="64">
        <f t="shared" si="4"/>
        <v>1639.44</v>
      </c>
      <c r="H10" s="64">
        <f t="shared" si="5"/>
        <v>9.1080000000000005</v>
      </c>
      <c r="I10" s="10" t="s">
        <v>50</v>
      </c>
    </row>
    <row r="11" spans="1:9" ht="14.4" x14ac:dyDescent="0.3">
      <c r="A11" s="65" t="s">
        <v>37</v>
      </c>
      <c r="B11" s="58">
        <v>186</v>
      </c>
      <c r="C11" s="66">
        <v>79200</v>
      </c>
      <c r="D11" s="64">
        <f t="shared" si="0"/>
        <v>79.2</v>
      </c>
      <c r="E11" s="64">
        <f>25*B17+50*B18+(D11-75)*B19</f>
        <v>305.53399999999999</v>
      </c>
      <c r="F11" s="64">
        <f t="shared" si="1"/>
        <v>125.13600000000001</v>
      </c>
      <c r="G11" s="64">
        <f t="shared" si="4"/>
        <v>1694.0880000000002</v>
      </c>
      <c r="H11" s="64">
        <f t="shared" si="5"/>
        <v>9.1080000000000005</v>
      </c>
      <c r="I11" s="10" t="s">
        <v>51</v>
      </c>
    </row>
    <row r="12" spans="1:9" ht="14.4" x14ac:dyDescent="0.3">
      <c r="A12" s="57" t="s">
        <v>38</v>
      </c>
      <c r="B12" s="58">
        <v>186</v>
      </c>
      <c r="C12" s="66">
        <v>65320</v>
      </c>
      <c r="D12" s="64">
        <f t="shared" si="0"/>
        <v>65.319999999999993</v>
      </c>
      <c r="E12" s="64">
        <f>25*B17+(D12-25)*B18</f>
        <v>246.29599999999996</v>
      </c>
      <c r="F12" s="64">
        <f t="shared" si="1"/>
        <v>103.20559999999999</v>
      </c>
      <c r="G12" s="64">
        <f t="shared" si="4"/>
        <v>1694.0880000000002</v>
      </c>
      <c r="H12" s="64">
        <f t="shared" si="5"/>
        <v>9.1080000000000005</v>
      </c>
      <c r="I12" s="2" t="s">
        <v>52</v>
      </c>
    </row>
    <row r="13" spans="1:9" ht="15" customHeight="1" x14ac:dyDescent="0.45">
      <c r="A13" s="65" t="s">
        <v>39</v>
      </c>
      <c r="B13" s="65">
        <v>190</v>
      </c>
      <c r="C13" s="66">
        <v>79200</v>
      </c>
      <c r="D13" s="64">
        <f t="shared" si="0"/>
        <v>79.2</v>
      </c>
      <c r="E13" s="57">
        <f>E11</f>
        <v>305.53399999999999</v>
      </c>
      <c r="F13" s="64">
        <f t="shared" si="1"/>
        <v>125.13600000000001</v>
      </c>
      <c r="G13" s="64">
        <f t="shared" si="4"/>
        <v>1730.5200000000002</v>
      </c>
      <c r="H13" s="64">
        <f t="shared" si="5"/>
        <v>9.1080000000000005</v>
      </c>
      <c r="I13" s="37" t="s">
        <v>51</v>
      </c>
    </row>
    <row r="16" spans="1:9" ht="28.8" x14ac:dyDescent="0.3">
      <c r="A16" s="38" t="s">
        <v>53</v>
      </c>
      <c r="B16" s="39" t="s">
        <v>54</v>
      </c>
    </row>
    <row r="17" spans="1:2" ht="14.4" x14ac:dyDescent="0.3">
      <c r="A17" s="40" t="s">
        <v>55</v>
      </c>
      <c r="B17" s="41">
        <v>3.32</v>
      </c>
    </row>
    <row r="18" spans="1:2" ht="14.4" x14ac:dyDescent="0.3">
      <c r="A18" s="40" t="s">
        <v>56</v>
      </c>
      <c r="B18" s="41">
        <v>4.05</v>
      </c>
    </row>
    <row r="19" spans="1:2" ht="14.4" x14ac:dyDescent="0.3">
      <c r="A19" s="42" t="s">
        <v>57</v>
      </c>
      <c r="B19" s="43">
        <v>4.7699999999999996</v>
      </c>
    </row>
    <row r="22" spans="1:2" ht="28.8" x14ac:dyDescent="0.3">
      <c r="A22" s="36" t="s">
        <v>58</v>
      </c>
      <c r="B22" s="1">
        <v>1.58</v>
      </c>
    </row>
    <row r="24" spans="1:2" ht="28.8" x14ac:dyDescent="0.3">
      <c r="A24" s="36" t="s">
        <v>59</v>
      </c>
    </row>
    <row r="25" spans="1:2" ht="14.4" x14ac:dyDescent="0.3">
      <c r="A25" s="1" t="s">
        <v>60</v>
      </c>
      <c r="B25" s="1">
        <v>47.39</v>
      </c>
    </row>
    <row r="28" spans="1:2" ht="14.4" x14ac:dyDescent="0.3">
      <c r="A28" s="43" t="s">
        <v>0</v>
      </c>
      <c r="B28" s="44" t="s">
        <v>61</v>
      </c>
    </row>
    <row r="29" spans="1:2" ht="14.4" x14ac:dyDescent="0.3">
      <c r="A29" s="41" t="s">
        <v>62</v>
      </c>
      <c r="B29" s="1">
        <v>6.98</v>
      </c>
    </row>
    <row r="30" spans="1:2" ht="14.4" x14ac:dyDescent="0.3">
      <c r="A30" s="41" t="s">
        <v>63</v>
      </c>
      <c r="B30" s="1">
        <v>0.188</v>
      </c>
    </row>
    <row r="31" spans="1:2" ht="14.4" x14ac:dyDescent="0.3">
      <c r="A31" s="41" t="s">
        <v>64</v>
      </c>
      <c r="B31" s="1">
        <v>1.94</v>
      </c>
    </row>
    <row r="32" spans="1:2" ht="14.4" x14ac:dyDescent="0.3">
      <c r="A32" s="45" t="s">
        <v>65</v>
      </c>
      <c r="B32" s="46">
        <f>SUM(B29:B31)</f>
        <v>9.1080000000000005</v>
      </c>
    </row>
  </sheetData>
  <phoneticPr fontId="18" type="noConversion"/>
  <hyperlinks>
    <hyperlink ref="I13" r:id="rId1" xr:uid="{00000000-0004-0000-0500-000003000000}"/>
    <hyperlink ref="I12" r:id="rId2" xr:uid="{00000000-0004-0000-0500-000002000000}"/>
    <hyperlink ref="I11" r:id="rId3" xr:uid="{00000000-0004-0000-0500-000001000000}"/>
    <hyperlink ref="I10" r:id="rId4" xr:uid="{00000000-0004-0000-05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2"/>
  <sheetViews>
    <sheetView workbookViewId="0">
      <selection activeCell="C21" sqref="C21"/>
    </sheetView>
  </sheetViews>
  <sheetFormatPr defaultColWidth="12.59765625" defaultRowHeight="15" customHeight="1" x14ac:dyDescent="0.25"/>
  <cols>
    <col min="1" max="1" width="19.69921875" customWidth="1"/>
  </cols>
  <sheetData>
    <row r="1" spans="1:13" ht="29.4" customHeight="1" x14ac:dyDescent="0.3">
      <c r="A1" s="5" t="s">
        <v>23</v>
      </c>
      <c r="B1" s="6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8" t="s">
        <v>30</v>
      </c>
      <c r="I1" s="8" t="s">
        <v>31</v>
      </c>
      <c r="J1" s="11" t="s">
        <v>40</v>
      </c>
      <c r="K1" s="11" t="s">
        <v>41</v>
      </c>
      <c r="L1" s="62" t="s">
        <v>42</v>
      </c>
      <c r="M1" s="8" t="s">
        <v>69</v>
      </c>
    </row>
    <row r="2" spans="1:13" ht="14.4" x14ac:dyDescent="0.3">
      <c r="A2" s="57" t="s">
        <v>33</v>
      </c>
      <c r="B2" s="58">
        <v>37</v>
      </c>
      <c r="C2" s="59">
        <v>535</v>
      </c>
      <c r="D2" s="60">
        <f t="shared" ref="D2:D4" si="0">C2/3.6</f>
        <v>148.61111111111111</v>
      </c>
      <c r="E2" s="59">
        <v>1839</v>
      </c>
      <c r="F2" s="59">
        <v>3160</v>
      </c>
      <c r="G2" s="59">
        <f t="shared" ref="G2:G4" si="1">F2/E2/B2</f>
        <v>4.6441220992607612E-2</v>
      </c>
      <c r="H2" s="57">
        <f>F2/E2</f>
        <v>1.7183251767264818</v>
      </c>
      <c r="I2" s="57">
        <f>F2/E2*D12</f>
        <v>0.89064230560086999</v>
      </c>
      <c r="J2" s="61">
        <v>1000</v>
      </c>
      <c r="K2" s="61">
        <v>780</v>
      </c>
      <c r="L2" s="61">
        <v>20</v>
      </c>
      <c r="M2" s="69">
        <f>G2*D12</f>
        <v>2.4071413664888377E-2</v>
      </c>
    </row>
    <row r="3" spans="1:13" s="70" customFormat="1" ht="14.4" x14ac:dyDescent="0.3">
      <c r="A3" s="57" t="s">
        <v>33</v>
      </c>
      <c r="B3" s="58">
        <v>37</v>
      </c>
      <c r="C3" s="59">
        <v>535</v>
      </c>
      <c r="D3" s="60">
        <f t="shared" ref="D3" si="2">C3/3.6</f>
        <v>148.61111111111111</v>
      </c>
      <c r="E3" s="59">
        <v>1839</v>
      </c>
      <c r="F3" s="59">
        <v>3160</v>
      </c>
      <c r="G3" s="59">
        <f t="shared" ref="G3" si="3">F3/E3/B3</f>
        <v>4.6441220992607612E-2</v>
      </c>
      <c r="H3" s="57">
        <f>F3/E3</f>
        <v>1.7183251767264818</v>
      </c>
      <c r="I3" s="57">
        <f>F3/E3*D12</f>
        <v>0.89064230560086999</v>
      </c>
      <c r="J3" s="61">
        <v>1000</v>
      </c>
      <c r="K3" s="61">
        <v>780</v>
      </c>
      <c r="L3" s="61">
        <v>20</v>
      </c>
      <c r="M3" s="69">
        <f>G3*D12</f>
        <v>2.4071413664888377E-2</v>
      </c>
    </row>
    <row r="4" spans="1:13" ht="14.4" x14ac:dyDescent="0.3">
      <c r="A4" s="57" t="s">
        <v>34</v>
      </c>
      <c r="B4" s="58">
        <v>80</v>
      </c>
      <c r="C4" s="57">
        <v>667</v>
      </c>
      <c r="D4" s="60">
        <f t="shared" si="0"/>
        <v>185.27777777777777</v>
      </c>
      <c r="E4" s="59">
        <v>2656</v>
      </c>
      <c r="F4" s="59">
        <v>6526</v>
      </c>
      <c r="G4" s="59">
        <f t="shared" si="1"/>
        <v>3.0713478915662652E-2</v>
      </c>
      <c r="H4" s="57">
        <f t="shared" ref="H4" si="4">F4/E4</f>
        <v>2.4570783132530121</v>
      </c>
      <c r="I4" s="57">
        <f>F4/E4*$D$12</f>
        <v>1.2735528313253013</v>
      </c>
      <c r="J4" s="61">
        <v>1425</v>
      </c>
      <c r="K4" s="61">
        <v>1289</v>
      </c>
      <c r="L4" s="61">
        <v>20</v>
      </c>
      <c r="M4" s="69">
        <f>G4*$D$12</f>
        <v>1.5919410391566267E-2</v>
      </c>
    </row>
    <row r="5" spans="1:13" ht="15" customHeight="1" x14ac:dyDescent="0.3">
      <c r="A5" s="57" t="s">
        <v>34</v>
      </c>
      <c r="B5" s="58">
        <v>80</v>
      </c>
      <c r="C5" s="57">
        <v>667</v>
      </c>
      <c r="D5" s="60">
        <f t="shared" ref="D5:D7" si="5">C5/3.6</f>
        <v>185.27777777777777</v>
      </c>
      <c r="E5" s="59">
        <v>2656</v>
      </c>
      <c r="F5" s="59">
        <v>6526</v>
      </c>
      <c r="G5" s="59">
        <f t="shared" ref="G5:G7" si="6">F5/E5/B5</f>
        <v>3.0713478915662652E-2</v>
      </c>
      <c r="H5" s="57">
        <f t="shared" ref="H5:H7" si="7">F5/E5</f>
        <v>2.4570783132530121</v>
      </c>
      <c r="I5" s="57">
        <f t="shared" ref="I5:I7" si="8">F5/E5*$D$12</f>
        <v>1.2735528313253013</v>
      </c>
      <c r="J5" s="61">
        <v>1425</v>
      </c>
      <c r="K5" s="61">
        <v>1289</v>
      </c>
      <c r="L5" s="61">
        <v>20</v>
      </c>
      <c r="M5" s="69">
        <f t="shared" ref="M5:M7" si="9">G5*$D$12</f>
        <v>1.5919410391566267E-2</v>
      </c>
    </row>
    <row r="6" spans="1:13" ht="15" customHeight="1" x14ac:dyDescent="0.3">
      <c r="A6" s="57" t="s">
        <v>34</v>
      </c>
      <c r="B6" s="58">
        <v>80</v>
      </c>
      <c r="C6" s="57">
        <v>667</v>
      </c>
      <c r="D6" s="60">
        <f t="shared" si="5"/>
        <v>185.27777777777777</v>
      </c>
      <c r="E6" s="59">
        <v>2656</v>
      </c>
      <c r="F6" s="59">
        <v>6526</v>
      </c>
      <c r="G6" s="59">
        <f t="shared" si="6"/>
        <v>3.0713478915662652E-2</v>
      </c>
      <c r="H6" s="57">
        <f t="shared" si="7"/>
        <v>2.4570783132530121</v>
      </c>
      <c r="I6" s="57">
        <f t="shared" si="8"/>
        <v>1.2735528313253013</v>
      </c>
      <c r="J6" s="61">
        <v>1425</v>
      </c>
      <c r="K6" s="61">
        <v>1289</v>
      </c>
      <c r="L6" s="61">
        <v>20</v>
      </c>
      <c r="M6" s="69">
        <f t="shared" si="9"/>
        <v>1.5919410391566267E-2</v>
      </c>
    </row>
    <row r="7" spans="1:13" ht="15" customHeight="1" x14ac:dyDescent="0.3">
      <c r="A7" s="57" t="s">
        <v>34</v>
      </c>
      <c r="B7" s="58">
        <v>80</v>
      </c>
      <c r="C7" s="57">
        <v>667</v>
      </c>
      <c r="D7" s="60">
        <f t="shared" si="5"/>
        <v>185.27777777777777</v>
      </c>
      <c r="E7" s="59">
        <v>2656</v>
      </c>
      <c r="F7" s="59">
        <v>6526</v>
      </c>
      <c r="G7" s="59">
        <f t="shared" si="6"/>
        <v>3.0713478915662652E-2</v>
      </c>
      <c r="H7" s="57">
        <f t="shared" si="7"/>
        <v>2.4570783132530121</v>
      </c>
      <c r="I7" s="57">
        <f t="shared" si="8"/>
        <v>1.2735528313253013</v>
      </c>
      <c r="J7" s="61">
        <v>1425</v>
      </c>
      <c r="K7" s="61">
        <v>1289</v>
      </c>
      <c r="L7" s="61">
        <v>20</v>
      </c>
      <c r="M7" s="69">
        <f t="shared" si="9"/>
        <v>1.5919410391566267E-2</v>
      </c>
    </row>
    <row r="8" spans="1:13" ht="15" customHeight="1" x14ac:dyDescent="0.3">
      <c r="A8" s="57" t="s">
        <v>34</v>
      </c>
      <c r="B8" s="58">
        <v>80</v>
      </c>
      <c r="C8" s="57">
        <v>667</v>
      </c>
      <c r="D8" s="60">
        <f t="shared" ref="D8" si="10">C8/3.6</f>
        <v>185.27777777777777</v>
      </c>
      <c r="E8" s="59">
        <v>2656</v>
      </c>
      <c r="F8" s="59">
        <v>6526</v>
      </c>
      <c r="G8" s="59">
        <f t="shared" ref="G8" si="11">F8/E8/B8</f>
        <v>3.0713478915662652E-2</v>
      </c>
      <c r="H8" s="57">
        <f t="shared" ref="H8" si="12">F8/E8</f>
        <v>2.4570783132530121</v>
      </c>
      <c r="I8" s="57">
        <f t="shared" ref="I8" si="13">F8/E8*$D$12</f>
        <v>1.2735528313253013</v>
      </c>
      <c r="J8" s="61">
        <v>1425</v>
      </c>
      <c r="K8" s="61">
        <v>1289</v>
      </c>
      <c r="L8" s="61">
        <v>20</v>
      </c>
      <c r="M8" s="69">
        <f t="shared" ref="M8" si="14">G8*$D$12</f>
        <v>1.5919410391566267E-2</v>
      </c>
    </row>
    <row r="11" spans="1:13" ht="14.4" x14ac:dyDescent="0.3">
      <c r="A11" s="1" t="s">
        <v>20</v>
      </c>
    </row>
    <row r="12" spans="1:13" ht="14.4" x14ac:dyDescent="0.3">
      <c r="A12" s="1">
        <v>0.58899999999999997</v>
      </c>
      <c r="B12" s="1" t="s">
        <v>21</v>
      </c>
      <c r="C12" s="3" t="s">
        <v>22</v>
      </c>
      <c r="D12" s="4">
        <f>0.88*A12</f>
        <v>0.51832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Demand Table</vt:lpstr>
      <vt:lpstr>Distance Table</vt:lpstr>
      <vt:lpstr>Cost_sheet</vt:lpstr>
      <vt:lpstr>AC_data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Beltman</dc:creator>
  <cp:lastModifiedBy>Yvar Vliex</cp:lastModifiedBy>
  <dcterms:created xsi:type="dcterms:W3CDTF">2021-11-07T15:34:55Z</dcterms:created>
  <dcterms:modified xsi:type="dcterms:W3CDTF">2021-12-11T12:09:50Z</dcterms:modified>
</cp:coreProperties>
</file>