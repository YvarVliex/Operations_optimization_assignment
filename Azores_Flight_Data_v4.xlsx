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242C2396-3D9A-42BD-A578-CD7BA1ECC389}" xr6:coauthVersionLast="47" xr6:coauthVersionMax="47" xr10:uidLastSave="{00000000-0000-0000-0000-000000000000}"/>
  <bookViews>
    <workbookView xWindow="19090" yWindow="-110" windowWidth="25820" windowHeight="14020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N8" i="4" l="1"/>
  <c r="M2" i="7"/>
  <c r="G7" i="4"/>
  <c r="H7" i="4"/>
  <c r="I7" i="4"/>
  <c r="J7" i="4"/>
  <c r="L7" i="4"/>
  <c r="E7" i="4"/>
  <c r="F7" i="4"/>
  <c r="G6" i="4"/>
  <c r="H6" i="4"/>
  <c r="I6" i="4"/>
  <c r="J6" i="4"/>
  <c r="K6" i="4"/>
  <c r="N6" i="4" s="1"/>
  <c r="N7" i="4" s="1"/>
  <c r="L6" i="4"/>
  <c r="E6" i="4"/>
  <c r="F6" i="4"/>
  <c r="F5" i="4"/>
  <c r="G5" i="4"/>
  <c r="H5" i="4"/>
  <c r="I5" i="4"/>
  <c r="J5" i="4"/>
  <c r="K5" i="4"/>
  <c r="L5" i="4"/>
  <c r="E5" i="4"/>
  <c r="N9" i="4" l="1"/>
  <c r="K7" i="4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<sst xmlns="http://schemas.openxmlformats.org/spreadsheetml/2006/main" count="131" uniqueCount="75">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</sst>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/>
    <xf numFmtId="1" fontId="6" fillId="0" borderId="1" xfId="0" applyNumberFormat="1" applyFont="1" applyBorder="1"/>
    <xf numFmtId="1" fontId="6" fillId="0" borderId="2" xfId="0" applyNumberFormat="1" applyFont="1" applyBorder="1"/>
    <xf numFmtId="1" fontId="7" fillId="0" borderId="0" xfId="0" applyNumberFormat="1" applyFont="1"/>
    <xf numFmtId="2" fontId="5" fillId="0" borderId="0" xfId="0" applyNumberFormat="1" applyFont="1"/>
    <xf numFmtId="1" fontId="6" fillId="0" borderId="3" xfId="0" applyNumberFormat="1" applyFont="1" applyBorder="1"/>
    <xf numFmtId="1" fontId="6" fillId="0" borderId="0" xfId="0" applyNumberFormat="1" applyFont="1"/>
    <xf numFmtId="1" fontId="6" fillId="0" borderId="4" xfId="0" applyNumberFormat="1" applyFont="1" applyBorder="1"/>
    <xf numFmtId="1" fontId="6" fillId="0" borderId="5" xfId="0" applyNumberFormat="1" applyFont="1" applyBorder="1"/>
    <xf numFmtId="1" fontId="6" fillId="0" borderId="6" xfId="0" applyNumberFormat="1" applyFont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10" xfId="0" applyNumberFormat="1" applyFont="1" applyBorder="1"/>
    <xf numFmtId="1" fontId="6" fillId="0" borderId="11" xfId="0" applyNumberFormat="1" applyFont="1" applyBorder="1"/>
    <xf numFmtId="1" fontId="6" fillId="0" borderId="12" xfId="0" applyNumberFormat="1" applyFont="1" applyBorder="1"/>
    <xf numFmtId="1" fontId="6" fillId="0" borderId="13" xfId="0" applyNumberFormat="1" applyFont="1" applyBorder="1"/>
    <xf numFmtId="1" fontId="6" fillId="2" borderId="7" xfId="0" applyNumberFormat="1" applyFont="1" applyFill="1" applyBorder="1" applyAlignment="1"/>
    <xf numFmtId="1" fontId="6" fillId="2" borderId="8" xfId="0" applyNumberFormat="1" applyFont="1" applyFill="1" applyBorder="1" applyAlignment="1"/>
    <xf numFmtId="0" fontId="6" fillId="0" borderId="6" xfId="0" applyFont="1" applyBorder="1"/>
    <xf numFmtId="1" fontId="6" fillId="2" borderId="9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14" xfId="0" applyFont="1" applyBorder="1" applyAlignment="1"/>
    <xf numFmtId="0" fontId="4" fillId="0" borderId="15" xfId="0" applyFont="1" applyBorder="1" applyAlignment="1">
      <alignment wrapText="1"/>
    </xf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4" fillId="0" borderId="20" xfId="0" applyFont="1" applyBorder="1" applyAlignment="1"/>
    <xf numFmtId="0" fontId="4" fillId="0" borderId="15" xfId="0" applyFont="1" applyBorder="1" applyAlignment="1"/>
    <xf numFmtId="0" fontId="4" fillId="0" borderId="2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8" xfId="0" applyNumberFormat="1" applyFont="1" applyFill="1" applyBorder="1"/>
    <xf numFmtId="0" fontId="0" fillId="0" borderId="8" xfId="0" applyFont="1" applyFill="1" applyBorder="1" applyAlignment="1"/>
    <xf numFmtId="0" fontId="4" fillId="0" borderId="8" xfId="0" applyFont="1" applyFill="1" applyBorder="1" applyAlignment="1"/>
    <xf numFmtId="0" fontId="4" fillId="0" borderId="8" xfId="0" applyFont="1" applyFill="1" applyBorder="1"/>
    <xf numFmtId="1" fontId="7" fillId="0" borderId="8" xfId="0" applyNumberFormat="1" applyFont="1" applyFill="1" applyBorder="1"/>
    <xf numFmtId="1" fontId="4" fillId="0" borderId="8" xfId="0" applyNumberFormat="1" applyFont="1" applyFill="1" applyBorder="1"/>
    <xf numFmtId="2" fontId="6" fillId="0" borderId="8" xfId="0" applyNumberFormat="1" applyFont="1" applyFill="1" applyBorder="1"/>
    <xf numFmtId="2" fontId="5" fillId="0" borderId="8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4" fillId="0" borderId="0" xfId="0" applyFont="1" applyAlignment="1">
      <alignment horizontal="center"/>
    </xf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8" xfId="0" applyFont="1" applyFill="1" applyBorder="1" applyAlignment="1"/>
    <xf numFmtId="2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topLeftCell="D1" workbookViewId="0">
      <selection activeCell="H10" sqref="H10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68</v>
      </c>
      <c r="C1" s="47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1" t="s">
        <v>11</v>
      </c>
    </row>
    <row r="2" spans="1:19" ht="14.25" customHeight="1" x14ac:dyDescent="0.3">
      <c r="A2" s="47"/>
      <c r="B2" s="47"/>
      <c r="C2" s="47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2"/>
    </row>
    <row r="3" spans="1:19" ht="14.25" customHeight="1" x14ac:dyDescent="0.3">
      <c r="A3" s="26" t="s">
        <v>44</v>
      </c>
      <c r="B3" s="9" t="s">
        <v>9</v>
      </c>
      <c r="C3" s="25" t="s">
        <v>19</v>
      </c>
      <c r="D3" s="27">
        <v>9307.8750664956679</v>
      </c>
      <c r="E3" s="28">
        <v>32</v>
      </c>
      <c r="F3" s="73">
        <v>6</v>
      </c>
      <c r="G3" s="73">
        <v>22</v>
      </c>
      <c r="H3" s="73">
        <v>45</v>
      </c>
      <c r="I3" s="73">
        <v>0</v>
      </c>
      <c r="J3" s="73">
        <v>44</v>
      </c>
      <c r="K3" s="73">
        <v>51</v>
      </c>
      <c r="L3" s="73">
        <v>61</v>
      </c>
      <c r="M3" s="17">
        <f>SUM(D3:L3)</f>
        <v>9568.8750664956679</v>
      </c>
    </row>
    <row r="4" spans="1:19" ht="14.25" customHeight="1" x14ac:dyDescent="0.3">
      <c r="D4" s="73">
        <v>9308</v>
      </c>
      <c r="E4" s="73">
        <v>32</v>
      </c>
      <c r="F4" s="73">
        <v>246</v>
      </c>
      <c r="G4" s="73">
        <v>982</v>
      </c>
      <c r="H4" s="73">
        <v>925</v>
      </c>
      <c r="I4" s="73">
        <v>560</v>
      </c>
      <c r="J4" s="73">
        <v>284</v>
      </c>
      <c r="K4" s="73">
        <v>3731</v>
      </c>
      <c r="L4" s="73">
        <v>381</v>
      </c>
      <c r="O4" s="50"/>
      <c r="P4" s="50"/>
      <c r="Q4" s="50"/>
    </row>
    <row r="5" spans="1:19" ht="14.25" customHeight="1" x14ac:dyDescent="0.3">
      <c r="D5" s="73"/>
      <c r="E5" s="73">
        <f>E4/80</f>
        <v>0.4</v>
      </c>
      <c r="F5" s="73">
        <f t="shared" ref="F5:L5" si="0">F4/80</f>
        <v>3.0750000000000002</v>
      </c>
      <c r="G5" s="73">
        <f t="shared" si="0"/>
        <v>12.275</v>
      </c>
      <c r="H5" s="73">
        <f t="shared" si="0"/>
        <v>11.5625</v>
      </c>
      <c r="I5" s="73">
        <f t="shared" si="0"/>
        <v>7</v>
      </c>
      <c r="J5" s="73">
        <f t="shared" si="0"/>
        <v>3.55</v>
      </c>
      <c r="K5" s="73">
        <f t="shared" si="0"/>
        <v>46.637500000000003</v>
      </c>
      <c r="L5" s="73">
        <f t="shared" si="0"/>
        <v>4.7625000000000002</v>
      </c>
      <c r="M5" s="74"/>
      <c r="N5" s="17"/>
      <c r="O5" s="50"/>
      <c r="P5" s="50"/>
      <c r="Q5" s="50"/>
    </row>
    <row r="6" spans="1:19" ht="14.25" customHeight="1" x14ac:dyDescent="0.3">
      <c r="D6" s="73"/>
      <c r="E6" s="74">
        <f>ROUNDDOWN(E5,0)</f>
        <v>0</v>
      </c>
      <c r="F6" s="74">
        <f>ROUNDDOWN(F5,0)</f>
        <v>3</v>
      </c>
      <c r="G6" s="74">
        <f t="shared" ref="G6:L6" si="1">ROUNDDOWN(G5,0)</f>
        <v>12</v>
      </c>
      <c r="H6" s="74">
        <f t="shared" si="1"/>
        <v>11</v>
      </c>
      <c r="I6" s="74">
        <f t="shared" si="1"/>
        <v>7</v>
      </c>
      <c r="J6" s="74">
        <f t="shared" si="1"/>
        <v>3</v>
      </c>
      <c r="K6" s="74">
        <f t="shared" si="1"/>
        <v>46</v>
      </c>
      <c r="L6" s="74">
        <f t="shared" si="1"/>
        <v>4</v>
      </c>
      <c r="M6" s="74"/>
      <c r="N6" s="76">
        <f>SUM(E6:L6) * 2</f>
        <v>172</v>
      </c>
      <c r="O6" s="75" t="s">
        <v>71</v>
      </c>
      <c r="P6" s="50"/>
      <c r="Q6" s="50"/>
    </row>
    <row r="7" spans="1:19" ht="14.25" customHeight="1" x14ac:dyDescent="0.3">
      <c r="A7" s="47"/>
      <c r="B7" s="47"/>
      <c r="C7" s="47"/>
      <c r="D7" s="26" t="s">
        <v>1</v>
      </c>
      <c r="E7" s="20">
        <f>E4-80*E6</f>
        <v>32</v>
      </c>
      <c r="F7" s="20">
        <f>F4-80*F6</f>
        <v>6</v>
      </c>
      <c r="G7" s="20">
        <f t="shared" ref="G7:L7" si="2">G4-80*G6</f>
        <v>22</v>
      </c>
      <c r="H7" s="20">
        <f t="shared" si="2"/>
        <v>45</v>
      </c>
      <c r="I7" s="20">
        <f t="shared" si="2"/>
        <v>0</v>
      </c>
      <c r="J7" s="20">
        <f t="shared" si="2"/>
        <v>44</v>
      </c>
      <c r="K7" s="20">
        <f t="shared" si="2"/>
        <v>51</v>
      </c>
      <c r="L7" s="20">
        <f t="shared" si="2"/>
        <v>61</v>
      </c>
      <c r="M7" s="20"/>
      <c r="N7" s="76">
        <f>N6/4</f>
        <v>43</v>
      </c>
      <c r="O7" s="52" t="s">
        <v>72</v>
      </c>
      <c r="P7" s="50"/>
      <c r="Q7" s="50"/>
    </row>
    <row r="8" spans="1:19" ht="14.25" customHeight="1" x14ac:dyDescent="0.3">
      <c r="A8" s="47"/>
      <c r="B8" s="68"/>
      <c r="C8" s="47"/>
      <c r="D8" s="25" t="s">
        <v>19</v>
      </c>
      <c r="G8" s="20"/>
      <c r="H8" s="20"/>
      <c r="I8" s="20"/>
      <c r="J8" s="20"/>
      <c r="K8" s="20"/>
      <c r="L8" s="20"/>
      <c r="M8" s="20"/>
      <c r="N8" s="76">
        <f>N7/6</f>
        <v>7.166666666666667</v>
      </c>
      <c r="O8" s="53" t="s">
        <v>73</v>
      </c>
      <c r="P8" s="50"/>
      <c r="Q8" s="50"/>
      <c r="S8" s="18"/>
    </row>
    <row r="9" spans="1:19" ht="14.25" customHeight="1" x14ac:dyDescent="0.3">
      <c r="A9" s="47"/>
      <c r="B9" s="68" t="s">
        <v>69</v>
      </c>
      <c r="C9" s="47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76">
        <f>97*N8/60</f>
        <v>11.586111111111112</v>
      </c>
      <c r="O9" s="53" t="s">
        <v>74</v>
      </c>
      <c r="P9" s="50"/>
      <c r="Q9" s="50"/>
      <c r="S9" s="18"/>
    </row>
    <row r="10" spans="1:19" ht="14.25" customHeight="1" x14ac:dyDescent="0.3">
      <c r="A10" s="48" t="s">
        <v>44</v>
      </c>
      <c r="B10" s="9" t="s">
        <v>9</v>
      </c>
      <c r="C10" s="25" t="s">
        <v>19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2</v>
      </c>
      <c r="C11" s="25" t="s">
        <v>12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3</v>
      </c>
      <c r="C12" s="25" t="s">
        <v>13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4</v>
      </c>
      <c r="C13" s="25" t="s">
        <v>14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5</v>
      </c>
      <c r="C14" s="25" t="s">
        <v>15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6</v>
      </c>
      <c r="C15" s="25" t="s">
        <v>16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7</v>
      </c>
      <c r="C16" s="25" t="s">
        <v>17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8</v>
      </c>
      <c r="C17" s="25" t="s">
        <v>18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10</v>
      </c>
      <c r="C18" s="25" t="s">
        <v>20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1" t="s">
        <v>11</v>
      </c>
      <c r="C19" s="72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67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45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24</v>
      </c>
      <c r="B1" s="35" t="s">
        <v>25</v>
      </c>
      <c r="C1" s="6" t="s">
        <v>46</v>
      </c>
      <c r="D1" s="1" t="s">
        <v>47</v>
      </c>
      <c r="E1" s="1" t="s">
        <v>48</v>
      </c>
      <c r="F1" s="1" t="s">
        <v>49</v>
      </c>
      <c r="G1" s="36" t="s">
        <v>50</v>
      </c>
      <c r="H1" s="36" t="s">
        <v>0</v>
      </c>
      <c r="I1" s="1" t="s">
        <v>33</v>
      </c>
    </row>
    <row r="2" spans="1:9" ht="14.4" x14ac:dyDescent="0.3">
      <c r="A2" s="57" t="s">
        <v>34</v>
      </c>
      <c r="B2" s="58">
        <v>37</v>
      </c>
      <c r="C2" s="63">
        <v>15649</v>
      </c>
      <c r="D2" s="64">
        <f t="shared" ref="D2:D12" si="0">C2/1000</f>
        <v>15.648999999999999</v>
      </c>
      <c r="E2" s="64">
        <f>D2*$B$16</f>
        <v>51.954679999999996</v>
      </c>
      <c r="F2" s="64">
        <f t="shared" ref="F2:F12" si="1">D2*$B$21</f>
        <v>24.72542</v>
      </c>
      <c r="G2" s="64">
        <f>B2*$B$31</f>
        <v>336.99600000000004</v>
      </c>
      <c r="H2" s="64">
        <f>$B$31</f>
        <v>9.1080000000000005</v>
      </c>
    </row>
    <row r="3" spans="1:9" s="70" customFormat="1" ht="14.4" x14ac:dyDescent="0.3">
      <c r="A3" s="57" t="s">
        <v>34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D3*$B$16</f>
        <v>51.954679999999996</v>
      </c>
      <c r="F3" s="64">
        <f t="shared" ref="F3" si="3">D3*$B$21</f>
        <v>24.72542</v>
      </c>
      <c r="G3" s="64">
        <f>B3*$B$31</f>
        <v>336.99600000000004</v>
      </c>
      <c r="H3" s="64">
        <f>$B$31</f>
        <v>9.1080000000000005</v>
      </c>
    </row>
    <row r="4" spans="1:9" ht="14.4" x14ac:dyDescent="0.3">
      <c r="A4" s="57" t="s">
        <v>35</v>
      </c>
      <c r="B4" s="58">
        <v>80</v>
      </c>
      <c r="C4" s="65">
        <v>27442</v>
      </c>
      <c r="D4" s="64">
        <f t="shared" si="0"/>
        <v>27.442</v>
      </c>
      <c r="E4" s="64">
        <f>25*$B$16+(D4-25)*$B$17</f>
        <v>92.890100000000004</v>
      </c>
      <c r="F4" s="64">
        <f>D4*$B$21</f>
        <v>43.358360000000005</v>
      </c>
      <c r="G4" s="64">
        <f t="shared" ref="G4:G12" si="4">B4*$B$31</f>
        <v>728.6400000000001</v>
      </c>
      <c r="H4" s="64">
        <f t="shared" ref="H4:H12" si="5">$B$31</f>
        <v>9.1080000000000005</v>
      </c>
    </row>
    <row r="5" spans="1:9" s="70" customFormat="1" ht="14.4" x14ac:dyDescent="0.3">
      <c r="A5" s="57" t="s">
        <v>35</v>
      </c>
      <c r="B5" s="58">
        <v>80</v>
      </c>
      <c r="C5" s="65">
        <v>27442</v>
      </c>
      <c r="D5" s="64">
        <f t="shared" ref="D5:D7" si="6">C5/1000</f>
        <v>27.442</v>
      </c>
      <c r="E5" s="64">
        <f t="shared" ref="E5:E7" si="7">25*$B$16+(D5-25)*$B$17</f>
        <v>92.890100000000004</v>
      </c>
      <c r="F5" s="64">
        <f t="shared" ref="F5:F7" si="8">D5*$B$21</f>
        <v>43.358360000000005</v>
      </c>
      <c r="G5" s="64">
        <f t="shared" ref="G5:G7" si="9">B5*$B$31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35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0" customFormat="1" ht="14.4" x14ac:dyDescent="0.3">
      <c r="A7" s="57" t="s">
        <v>35</v>
      </c>
      <c r="B7" s="58">
        <v>80</v>
      </c>
      <c r="C7" s="65">
        <v>27442</v>
      </c>
      <c r="D7" s="64">
        <f t="shared" si="6"/>
        <v>27.442</v>
      </c>
      <c r="E7" s="64">
        <f t="shared" si="7"/>
        <v>92.890100000000004</v>
      </c>
      <c r="F7" s="64">
        <f t="shared" si="8"/>
        <v>43.358360000000005</v>
      </c>
      <c r="G7" s="64">
        <f t="shared" si="9"/>
        <v>728.6400000000001</v>
      </c>
      <c r="H7" s="64">
        <f t="shared" si="5"/>
        <v>9.1080000000000005</v>
      </c>
    </row>
    <row r="8" spans="1:9" ht="14.4" x14ac:dyDescent="0.3">
      <c r="A8" s="57" t="s">
        <v>36</v>
      </c>
      <c r="B8" s="58">
        <v>165</v>
      </c>
      <c r="C8" s="66">
        <v>64500</v>
      </c>
      <c r="D8" s="64">
        <f t="shared" si="0"/>
        <v>64.5</v>
      </c>
      <c r="E8" s="64">
        <f>B16*25 + (D8-25)*B17</f>
        <v>242.97499999999999</v>
      </c>
      <c r="F8" s="64">
        <f t="shared" si="1"/>
        <v>101.91000000000001</v>
      </c>
      <c r="G8" s="64">
        <f t="shared" si="4"/>
        <v>1502.8200000000002</v>
      </c>
      <c r="H8" s="64">
        <f t="shared" si="5"/>
        <v>9.1080000000000005</v>
      </c>
    </row>
    <row r="9" spans="1:9" ht="14.4" x14ac:dyDescent="0.3">
      <c r="A9" s="57" t="s">
        <v>37</v>
      </c>
      <c r="B9" s="58">
        <v>180</v>
      </c>
      <c r="C9" s="66">
        <v>67400</v>
      </c>
      <c r="D9" s="64">
        <f t="shared" si="0"/>
        <v>67.400000000000006</v>
      </c>
      <c r="E9" s="64">
        <f>B16*25 + (D9-25)*B17</f>
        <v>254.72000000000003</v>
      </c>
      <c r="F9" s="64">
        <f t="shared" si="1"/>
        <v>106.49200000000002</v>
      </c>
      <c r="G9" s="64">
        <f t="shared" si="4"/>
        <v>1639.44</v>
      </c>
      <c r="H9" s="64">
        <f t="shared" si="5"/>
        <v>9.1080000000000005</v>
      </c>
      <c r="I9" s="10" t="s">
        <v>51</v>
      </c>
    </row>
    <row r="10" spans="1:9" ht="14.4" x14ac:dyDescent="0.3">
      <c r="A10" s="65" t="s">
        <v>38</v>
      </c>
      <c r="B10" s="58">
        <v>186</v>
      </c>
      <c r="C10" s="66">
        <v>79200</v>
      </c>
      <c r="D10" s="64">
        <f t="shared" si="0"/>
        <v>79.2</v>
      </c>
      <c r="E10" s="64">
        <f>25*B16+50*B17+(D10-75)*B18</f>
        <v>305.53399999999999</v>
      </c>
      <c r="F10" s="64">
        <f t="shared" si="1"/>
        <v>125.13600000000001</v>
      </c>
      <c r="G10" s="64">
        <f t="shared" si="4"/>
        <v>1694.0880000000002</v>
      </c>
      <c r="H10" s="64">
        <f t="shared" si="5"/>
        <v>9.1080000000000005</v>
      </c>
      <c r="I10" s="10" t="s">
        <v>52</v>
      </c>
    </row>
    <row r="11" spans="1:9" ht="14.4" x14ac:dyDescent="0.3">
      <c r="A11" s="57" t="s">
        <v>39</v>
      </c>
      <c r="B11" s="58">
        <v>186</v>
      </c>
      <c r="C11" s="66">
        <v>65320</v>
      </c>
      <c r="D11" s="64">
        <f t="shared" si="0"/>
        <v>65.319999999999993</v>
      </c>
      <c r="E11" s="64">
        <f>25*B16+(D11-25)*B17</f>
        <v>246.29599999999996</v>
      </c>
      <c r="F11" s="64">
        <f t="shared" si="1"/>
        <v>103.20559999999999</v>
      </c>
      <c r="G11" s="64">
        <f t="shared" si="4"/>
        <v>1694.0880000000002</v>
      </c>
      <c r="H11" s="64">
        <f t="shared" si="5"/>
        <v>9.1080000000000005</v>
      </c>
      <c r="I11" s="2" t="s">
        <v>53</v>
      </c>
    </row>
    <row r="12" spans="1:9" ht="15" customHeight="1" x14ac:dyDescent="0.45">
      <c r="A12" s="65" t="s">
        <v>40</v>
      </c>
      <c r="B12" s="65">
        <v>190</v>
      </c>
      <c r="C12" s="66">
        <v>79200</v>
      </c>
      <c r="D12" s="64">
        <f t="shared" si="0"/>
        <v>79.2</v>
      </c>
      <c r="E12" s="57">
        <f>E10</f>
        <v>305.53399999999999</v>
      </c>
      <c r="F12" s="64">
        <f t="shared" si="1"/>
        <v>125.13600000000001</v>
      </c>
      <c r="G12" s="64">
        <f t="shared" si="4"/>
        <v>1730.5200000000002</v>
      </c>
      <c r="H12" s="64">
        <f t="shared" si="5"/>
        <v>9.1080000000000005</v>
      </c>
      <c r="I12" s="37" t="s">
        <v>52</v>
      </c>
    </row>
    <row r="15" spans="1:9" ht="28.8" x14ac:dyDescent="0.3">
      <c r="A15" s="38" t="s">
        <v>54</v>
      </c>
      <c r="B15" s="39" t="s">
        <v>55</v>
      </c>
    </row>
    <row r="16" spans="1:9" ht="14.4" x14ac:dyDescent="0.3">
      <c r="A16" s="40" t="s">
        <v>56</v>
      </c>
      <c r="B16" s="41">
        <v>3.32</v>
      </c>
    </row>
    <row r="17" spans="1:2" ht="14.4" x14ac:dyDescent="0.3">
      <c r="A17" s="40" t="s">
        <v>57</v>
      </c>
      <c r="B17" s="41">
        <v>4.05</v>
      </c>
    </row>
    <row r="18" spans="1:2" ht="14.4" x14ac:dyDescent="0.3">
      <c r="A18" s="42" t="s">
        <v>58</v>
      </c>
      <c r="B18" s="43">
        <v>4.7699999999999996</v>
      </c>
    </row>
    <row r="21" spans="1:2" ht="28.8" x14ac:dyDescent="0.3">
      <c r="A21" s="36" t="s">
        <v>59</v>
      </c>
      <c r="B21" s="1">
        <v>1.58</v>
      </c>
    </row>
    <row r="23" spans="1:2" ht="28.8" x14ac:dyDescent="0.3">
      <c r="A23" s="36" t="s">
        <v>60</v>
      </c>
    </row>
    <row r="24" spans="1:2" ht="14.4" x14ac:dyDescent="0.3">
      <c r="A24" s="1" t="s">
        <v>61</v>
      </c>
      <c r="B24" s="1">
        <v>47.39</v>
      </c>
    </row>
    <row r="27" spans="1:2" ht="14.4" x14ac:dyDescent="0.3">
      <c r="A27" s="43" t="s">
        <v>0</v>
      </c>
      <c r="B27" s="44" t="s">
        <v>62</v>
      </c>
    </row>
    <row r="28" spans="1:2" ht="14.4" x14ac:dyDescent="0.3">
      <c r="A28" s="41" t="s">
        <v>63</v>
      </c>
      <c r="B28" s="1">
        <v>6.98</v>
      </c>
    </row>
    <row r="29" spans="1:2" ht="14.4" x14ac:dyDescent="0.3">
      <c r="A29" s="41" t="s">
        <v>64</v>
      </c>
      <c r="B29" s="1">
        <v>0.188</v>
      </c>
    </row>
    <row r="30" spans="1:2" ht="14.4" x14ac:dyDescent="0.3">
      <c r="A30" s="41" t="s">
        <v>65</v>
      </c>
      <c r="B30" s="1">
        <v>1.94</v>
      </c>
    </row>
    <row r="31" spans="1:2" ht="14.4" x14ac:dyDescent="0.3">
      <c r="A31" s="45" t="s">
        <v>66</v>
      </c>
      <c r="B31" s="46">
        <f>SUM(B28:B30)</f>
        <v>9.1080000000000005</v>
      </c>
    </row>
  </sheetData>
  <phoneticPr fontId="18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11" t="s">
        <v>41</v>
      </c>
      <c r="K1" s="11" t="s">
        <v>42</v>
      </c>
      <c r="L1" s="62" t="s">
        <v>43</v>
      </c>
      <c r="M1" s="8" t="s">
        <v>70</v>
      </c>
    </row>
    <row r="2" spans="1:13" ht="14.4" x14ac:dyDescent="0.3">
      <c r="A2" s="57" t="s">
        <v>34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34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35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35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35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35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11" spans="1:13" ht="14.4" x14ac:dyDescent="0.3">
      <c r="A11" s="1" t="s">
        <v>21</v>
      </c>
    </row>
    <row r="12" spans="1:13" ht="14.4" x14ac:dyDescent="0.3">
      <c r="A12" s="1">
        <v>0.58899999999999997</v>
      </c>
      <c r="B12" s="1" t="s">
        <v>22</v>
      </c>
      <c r="C12" s="3" t="s">
        <v>23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2021-12-06T20:28:56Z</dcterms:modified>
</cp:coreProperties>
</file>